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9243\Desktop\MU\03_ИТМО\ВКР\"/>
    </mc:Choice>
  </mc:AlternateContent>
  <xr:revisionPtr revIDLastSave="0" documentId="13_ncr:1_{4871EF1C-27CC-493F-9350-2CA4895E67E9}" xr6:coauthVersionLast="47" xr6:coauthVersionMax="47" xr10:uidLastSave="{00000000-0000-0000-0000-000000000000}"/>
  <bookViews>
    <workbookView xWindow="-108" yWindow="-108" windowWidth="23256" windowHeight="12576" xr2:uid="{37D5F0A6-450B-48BB-BC64-BE87812B1242}"/>
  </bookViews>
  <sheets>
    <sheet name="Метрики по 3 кейсам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6" i="2" l="1"/>
  <c r="H35" i="2"/>
  <c r="H34" i="2"/>
  <c r="H33" i="2"/>
  <c r="H32" i="2"/>
  <c r="H31" i="2"/>
  <c r="D36" i="2"/>
  <c r="D35" i="2"/>
  <c r="D34" i="2"/>
  <c r="D33" i="2"/>
  <c r="D32" i="2"/>
  <c r="D31" i="2"/>
  <c r="H23" i="2"/>
  <c r="H22" i="2"/>
  <c r="H21" i="2"/>
  <c r="H20" i="2"/>
  <c r="H19" i="2"/>
  <c r="H18" i="2"/>
  <c r="D23" i="2"/>
  <c r="D22" i="2"/>
  <c r="D21" i="2"/>
  <c r="D20" i="2"/>
  <c r="D19" i="2"/>
  <c r="D18" i="2"/>
  <c r="H10" i="2"/>
  <c r="H9" i="2"/>
  <c r="H8" i="2"/>
  <c r="H7" i="2"/>
  <c r="H6" i="2"/>
  <c r="H5" i="2"/>
  <c r="D10" i="2"/>
  <c r="D9" i="2"/>
  <c r="D8" i="2"/>
  <c r="D7" i="2"/>
  <c r="D6" i="2"/>
  <c r="D5" i="2"/>
  <c r="P36" i="2"/>
  <c r="P35" i="2"/>
  <c r="P34" i="2"/>
  <c r="P33" i="2"/>
  <c r="P32" i="2"/>
  <c r="P31" i="2"/>
  <c r="L36" i="2"/>
  <c r="L35" i="2"/>
  <c r="L34" i="2"/>
  <c r="L33" i="2"/>
  <c r="L32" i="2"/>
  <c r="L31" i="2"/>
  <c r="P23" i="2"/>
  <c r="P22" i="2"/>
  <c r="P21" i="2"/>
  <c r="P20" i="2"/>
  <c r="P19" i="2"/>
  <c r="P18" i="2"/>
  <c r="L23" i="2"/>
  <c r="L22" i="2"/>
  <c r="L21" i="2"/>
  <c r="L20" i="2"/>
  <c r="L19" i="2"/>
  <c r="L18" i="2"/>
  <c r="P5" i="2"/>
  <c r="P10" i="2"/>
  <c r="P9" i="2"/>
  <c r="P8" i="2"/>
  <c r="P7" i="2"/>
  <c r="P6" i="2"/>
  <c r="L6" i="2"/>
  <c r="L7" i="2"/>
  <c r="L8" i="2"/>
  <c r="L9" i="2"/>
  <c r="L10" i="2"/>
  <c r="L5" i="2"/>
  <c r="E24" i="2"/>
  <c r="E19" i="2"/>
  <c r="E20" i="2"/>
  <c r="E21" i="2"/>
  <c r="E22" i="2"/>
  <c r="E23" i="2"/>
  <c r="E18" i="2"/>
  <c r="O37" i="2"/>
  <c r="N37" i="2"/>
  <c r="K37" i="2"/>
  <c r="J37" i="2"/>
  <c r="G37" i="2"/>
  <c r="F37" i="2"/>
  <c r="E37" i="2"/>
  <c r="C37" i="2"/>
  <c r="B37" i="2"/>
  <c r="Q36" i="2"/>
  <c r="M36" i="2"/>
  <c r="I36" i="2"/>
  <c r="Q35" i="2"/>
  <c r="M35" i="2"/>
  <c r="I35" i="2"/>
  <c r="Q34" i="2"/>
  <c r="M34" i="2"/>
  <c r="I34" i="2"/>
  <c r="Q33" i="2"/>
  <c r="M33" i="2"/>
  <c r="I33" i="2"/>
  <c r="Q32" i="2"/>
  <c r="M32" i="2"/>
  <c r="I32" i="2"/>
  <c r="Q31" i="2"/>
  <c r="M31" i="2"/>
  <c r="I31" i="2"/>
  <c r="O24" i="2"/>
  <c r="N24" i="2"/>
  <c r="K24" i="2"/>
  <c r="J24" i="2"/>
  <c r="G24" i="2"/>
  <c r="F24" i="2"/>
  <c r="C24" i="2"/>
  <c r="B24" i="2"/>
  <c r="Q23" i="2"/>
  <c r="M23" i="2"/>
  <c r="I23" i="2"/>
  <c r="Q22" i="2"/>
  <c r="M22" i="2"/>
  <c r="I22" i="2"/>
  <c r="Q21" i="2"/>
  <c r="M21" i="2"/>
  <c r="I21" i="2"/>
  <c r="Q20" i="2"/>
  <c r="M20" i="2"/>
  <c r="I20" i="2"/>
  <c r="Q19" i="2"/>
  <c r="M19" i="2"/>
  <c r="I19" i="2"/>
  <c r="Q18" i="2"/>
  <c r="M18" i="2"/>
  <c r="I18" i="2"/>
  <c r="O11" i="2"/>
  <c r="N11" i="2"/>
  <c r="Q10" i="2"/>
  <c r="Q9" i="2"/>
  <c r="Q8" i="2"/>
  <c r="Q7" i="2"/>
  <c r="Q6" i="2"/>
  <c r="Q5" i="2"/>
  <c r="K11" i="2"/>
  <c r="J11" i="2"/>
  <c r="M10" i="2"/>
  <c r="M9" i="2"/>
  <c r="M8" i="2"/>
  <c r="M7" i="2"/>
  <c r="M6" i="2"/>
  <c r="M5" i="2"/>
  <c r="I6" i="2"/>
  <c r="I7" i="2"/>
  <c r="I8" i="2"/>
  <c r="I9" i="2"/>
  <c r="I10" i="2"/>
  <c r="I5" i="2"/>
  <c r="E11" i="2"/>
  <c r="F11" i="2"/>
  <c r="G11" i="2"/>
  <c r="C11" i="2"/>
  <c r="B11" i="2"/>
  <c r="M24" i="2" l="1"/>
</calcChain>
</file>

<file path=xl/sharedStrings.xml><?xml version="1.0" encoding="utf-8"?>
<sst xmlns="http://schemas.openxmlformats.org/spreadsheetml/2006/main" count="75" uniqueCount="14">
  <si>
    <t>верхний уровень</t>
  </si>
  <si>
    <t>средний уровень</t>
  </si>
  <si>
    <t>обучение</t>
  </si>
  <si>
    <t>применение</t>
  </si>
  <si>
    <t>№</t>
  </si>
  <si>
    <t>% попадания генерации в существующую точку</t>
  </si>
  <si>
    <t>% попадания генерации в заданный допуск</t>
  </si>
  <si>
    <t>Санкт-Петербург - Санкт-Петербург</t>
  </si>
  <si>
    <t>Челябинск - Челябинск</t>
  </si>
  <si>
    <t>Санкт-Петербург - Челябинск</t>
  </si>
  <si>
    <t>% выбросов</t>
  </si>
  <si>
    <t>ср.зн.</t>
  </si>
  <si>
    <t>ср. зн.</t>
  </si>
  <si>
    <t>% итоговой точности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</si>
</sst>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DD3E4"/>
        <bgColor indexed="64"/>
      </patternFill>
    </fill>
    <fill>
      <patternFill patternType="solid">
        <fgColor rgb="FFFAE2E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9E9FF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0" xfId="0" applyFill="1" applyBorder="1" applyAlignment="1">
      <alignment horizontal="center" vertical="center"/>
    </xf>
    <xf numFmtId="0" fontId="2" fillId="6" borderId="1" xfId="0" applyFont="1" applyFill="1" applyBorder="1" applyAlignment="1">
      <alignment vertical="center" wrapText="1"/>
    </xf>
    <xf numFmtId="0" fontId="0" fillId="6" borderId="1" xfId="0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C9E9FF"/>
      <color rgb="FFFDF2F6"/>
      <color rgb="FFFAE2EB"/>
      <color rgb="FFFCC0D8"/>
      <color rgb="FFFDD3E4"/>
      <color rgb="FF8ED2FF"/>
      <color rgb="FFF768A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FD2A7-3BCE-4098-B0B9-7C38471272DA}">
  <dimension ref="A1:Q37"/>
  <sheetViews>
    <sheetView tabSelected="1" topLeftCell="A22" zoomScaleNormal="100" workbookViewId="0">
      <selection activeCell="J40" sqref="J40"/>
    </sheetView>
  </sheetViews>
  <sheetFormatPr defaultRowHeight="14.4" x14ac:dyDescent="0.3"/>
  <cols>
    <col min="1" max="1" width="3.5546875" customWidth="1"/>
    <col min="2" max="2" width="14.44140625" customWidth="1"/>
    <col min="3" max="3" width="14.77734375" customWidth="1"/>
    <col min="4" max="4" width="10" customWidth="1"/>
    <col min="5" max="5" width="10.77734375" customWidth="1"/>
    <col min="6" max="6" width="14.6640625" customWidth="1"/>
    <col min="7" max="7" width="14.88671875" customWidth="1"/>
    <col min="8" max="8" width="10.44140625" customWidth="1"/>
    <col min="9" max="9" width="10.6640625" customWidth="1"/>
    <col min="10" max="10" width="14.21875" customWidth="1"/>
    <col min="11" max="11" width="15.33203125" customWidth="1"/>
    <col min="12" max="12" width="10.6640625" customWidth="1"/>
    <col min="13" max="13" width="11" customWidth="1"/>
    <col min="14" max="14" width="14.21875" customWidth="1"/>
    <col min="15" max="15" width="14.77734375" customWidth="1"/>
    <col min="16" max="16" width="10.21875" customWidth="1"/>
    <col min="17" max="17" width="10.88671875" customWidth="1"/>
  </cols>
  <sheetData>
    <row r="1" spans="1:17" ht="18" customHeight="1" x14ac:dyDescent="0.3">
      <c r="A1" s="10" t="s">
        <v>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</row>
    <row r="2" spans="1:17" x14ac:dyDescent="0.3">
      <c r="A2" s="11" t="s">
        <v>4</v>
      </c>
      <c r="B2" s="12" t="s">
        <v>2</v>
      </c>
      <c r="C2" s="12"/>
      <c r="D2" s="12"/>
      <c r="E2" s="12"/>
      <c r="F2" s="12"/>
      <c r="G2" s="12"/>
      <c r="H2" s="12"/>
      <c r="I2" s="12"/>
      <c r="J2" s="12" t="s">
        <v>3</v>
      </c>
      <c r="K2" s="12"/>
      <c r="L2" s="12"/>
      <c r="M2" s="12"/>
      <c r="N2" s="12"/>
      <c r="O2" s="12"/>
      <c r="P2" s="12"/>
      <c r="Q2" s="12"/>
    </row>
    <row r="3" spans="1:17" x14ac:dyDescent="0.3">
      <c r="A3" s="11"/>
      <c r="B3" s="13" t="s">
        <v>0</v>
      </c>
      <c r="C3" s="13"/>
      <c r="D3" s="13"/>
      <c r="E3" s="13"/>
      <c r="F3" s="13" t="s">
        <v>1</v>
      </c>
      <c r="G3" s="13"/>
      <c r="H3" s="13"/>
      <c r="I3" s="13"/>
      <c r="J3" s="13" t="s">
        <v>0</v>
      </c>
      <c r="K3" s="13"/>
      <c r="L3" s="13"/>
      <c r="M3" s="13"/>
      <c r="N3" s="13" t="s">
        <v>1</v>
      </c>
      <c r="O3" s="13"/>
      <c r="P3" s="13"/>
      <c r="Q3" s="13"/>
    </row>
    <row r="4" spans="1:17" ht="55.2" x14ac:dyDescent="0.3">
      <c r="B4" s="6" t="s">
        <v>5</v>
      </c>
      <c r="C4" s="6" t="s">
        <v>6</v>
      </c>
      <c r="D4" s="9" t="s">
        <v>13</v>
      </c>
      <c r="E4" s="6" t="s">
        <v>10</v>
      </c>
      <c r="F4" s="9" t="s">
        <v>5</v>
      </c>
      <c r="G4" s="9" t="s">
        <v>6</v>
      </c>
      <c r="H4" s="18" t="s">
        <v>13</v>
      </c>
      <c r="I4" s="9" t="s">
        <v>10</v>
      </c>
      <c r="J4" s="6" t="s">
        <v>5</v>
      </c>
      <c r="K4" s="6" t="s">
        <v>6</v>
      </c>
      <c r="L4" s="15" t="s">
        <v>13</v>
      </c>
      <c r="M4" s="6" t="s">
        <v>10</v>
      </c>
      <c r="N4" s="9" t="s">
        <v>5</v>
      </c>
      <c r="O4" s="9" t="s">
        <v>6</v>
      </c>
      <c r="P4" s="15" t="s">
        <v>13</v>
      </c>
      <c r="Q4" s="9" t="s">
        <v>10</v>
      </c>
    </row>
    <row r="5" spans="1:17" x14ac:dyDescent="0.3">
      <c r="A5" s="1">
        <v>1</v>
      </c>
      <c r="B5" s="3">
        <v>9</v>
      </c>
      <c r="C5" s="3">
        <v>68</v>
      </c>
      <c r="D5" s="7">
        <f>C5+B5</f>
        <v>77</v>
      </c>
      <c r="E5" s="3">
        <v>23</v>
      </c>
      <c r="F5" s="7">
        <v>15</v>
      </c>
      <c r="G5" s="7">
        <v>70</v>
      </c>
      <c r="H5" s="19">
        <f>G5+F5</f>
        <v>85</v>
      </c>
      <c r="I5" s="7">
        <f>100-(G5+F5)</f>
        <v>15</v>
      </c>
      <c r="J5" s="3">
        <v>21</v>
      </c>
      <c r="K5" s="3">
        <v>49</v>
      </c>
      <c r="L5" s="16">
        <f>K5+J5</f>
        <v>70</v>
      </c>
      <c r="M5" s="3">
        <f>100-(K5+J5)</f>
        <v>30</v>
      </c>
      <c r="N5" s="7">
        <v>11</v>
      </c>
      <c r="O5" s="7">
        <v>67</v>
      </c>
      <c r="P5" s="16">
        <f>O5+N5</f>
        <v>78</v>
      </c>
      <c r="Q5" s="7">
        <f>100-(O5+N5)</f>
        <v>22</v>
      </c>
    </row>
    <row r="6" spans="1:17" x14ac:dyDescent="0.3">
      <c r="A6" s="1">
        <v>2</v>
      </c>
      <c r="B6" s="3">
        <v>25</v>
      </c>
      <c r="C6" s="3">
        <v>50</v>
      </c>
      <c r="D6" s="7">
        <f t="shared" ref="D6:D10" si="0">C6+B6</f>
        <v>75</v>
      </c>
      <c r="E6" s="3">
        <v>25</v>
      </c>
      <c r="F6" s="7">
        <v>21</v>
      </c>
      <c r="G6" s="7">
        <v>64</v>
      </c>
      <c r="H6" s="19">
        <f t="shared" ref="H6:H10" si="1">G6+F6</f>
        <v>85</v>
      </c>
      <c r="I6" s="7">
        <f t="shared" ref="I6:I10" si="2">100-(G6+F6)</f>
        <v>15</v>
      </c>
      <c r="J6" s="3">
        <v>25</v>
      </c>
      <c r="K6" s="3">
        <v>53</v>
      </c>
      <c r="L6" s="16">
        <f t="shared" ref="L6:L10" si="3">K6+J6</f>
        <v>78</v>
      </c>
      <c r="M6" s="3">
        <f>100-(K6+J6)</f>
        <v>22</v>
      </c>
      <c r="N6" s="7">
        <v>15</v>
      </c>
      <c r="O6" s="7">
        <v>69</v>
      </c>
      <c r="P6" s="16">
        <f t="shared" ref="P6:P10" si="4">O6+N6</f>
        <v>84</v>
      </c>
      <c r="Q6" s="7">
        <f t="shared" ref="Q6:Q10" si="5">100-(O6+N6)</f>
        <v>16</v>
      </c>
    </row>
    <row r="7" spans="1:17" x14ac:dyDescent="0.3">
      <c r="A7" s="1">
        <v>3</v>
      </c>
      <c r="B7" s="3">
        <v>23</v>
      </c>
      <c r="C7" s="3">
        <v>69</v>
      </c>
      <c r="D7" s="7">
        <f t="shared" si="0"/>
        <v>92</v>
      </c>
      <c r="E7" s="3">
        <v>8</v>
      </c>
      <c r="F7" s="7">
        <v>24</v>
      </c>
      <c r="G7" s="7">
        <v>67</v>
      </c>
      <c r="H7" s="19">
        <f t="shared" si="1"/>
        <v>91</v>
      </c>
      <c r="I7" s="7">
        <f t="shared" si="2"/>
        <v>9</v>
      </c>
      <c r="J7" s="3">
        <v>26</v>
      </c>
      <c r="K7" s="3">
        <v>59</v>
      </c>
      <c r="L7" s="16">
        <f t="shared" si="3"/>
        <v>85</v>
      </c>
      <c r="M7" s="3">
        <f>100-(K7+J7)</f>
        <v>15</v>
      </c>
      <c r="N7" s="7">
        <v>21</v>
      </c>
      <c r="O7" s="7">
        <v>65</v>
      </c>
      <c r="P7" s="16">
        <f t="shared" si="4"/>
        <v>86</v>
      </c>
      <c r="Q7" s="7">
        <f t="shared" si="5"/>
        <v>14</v>
      </c>
    </row>
    <row r="8" spans="1:17" x14ac:dyDescent="0.3">
      <c r="A8" s="1">
        <v>4</v>
      </c>
      <c r="B8" s="3">
        <v>21</v>
      </c>
      <c r="C8" s="3">
        <v>63</v>
      </c>
      <c r="D8" s="7">
        <f t="shared" si="0"/>
        <v>84</v>
      </c>
      <c r="E8" s="3">
        <v>16</v>
      </c>
      <c r="F8" s="7">
        <v>9</v>
      </c>
      <c r="G8" s="7">
        <v>73</v>
      </c>
      <c r="H8" s="19">
        <f t="shared" si="1"/>
        <v>82</v>
      </c>
      <c r="I8" s="7">
        <f t="shared" si="2"/>
        <v>18</v>
      </c>
      <c r="J8" s="3">
        <v>29</v>
      </c>
      <c r="K8" s="3">
        <v>52</v>
      </c>
      <c r="L8" s="16">
        <f t="shared" si="3"/>
        <v>81</v>
      </c>
      <c r="M8" s="3">
        <f>100-(K8+J8)</f>
        <v>19</v>
      </c>
      <c r="N8" s="7">
        <v>11</v>
      </c>
      <c r="O8" s="7">
        <v>71</v>
      </c>
      <c r="P8" s="16">
        <f t="shared" si="4"/>
        <v>82</v>
      </c>
      <c r="Q8" s="7">
        <f t="shared" si="5"/>
        <v>18</v>
      </c>
    </row>
    <row r="9" spans="1:17" x14ac:dyDescent="0.3">
      <c r="A9" s="1">
        <v>5</v>
      </c>
      <c r="B9" s="3">
        <v>23</v>
      </c>
      <c r="C9" s="3">
        <v>65</v>
      </c>
      <c r="D9" s="7">
        <f t="shared" si="0"/>
        <v>88</v>
      </c>
      <c r="E9" s="3">
        <v>12</v>
      </c>
      <c r="F9" s="7">
        <v>12</v>
      </c>
      <c r="G9" s="7">
        <v>76</v>
      </c>
      <c r="H9" s="19">
        <f t="shared" si="1"/>
        <v>88</v>
      </c>
      <c r="I9" s="7">
        <f t="shared" si="2"/>
        <v>12</v>
      </c>
      <c r="J9" s="3">
        <v>33</v>
      </c>
      <c r="K9" s="3">
        <v>57</v>
      </c>
      <c r="L9" s="16">
        <f t="shared" si="3"/>
        <v>90</v>
      </c>
      <c r="M9" s="3">
        <f>100-(K9+J9)</f>
        <v>10</v>
      </c>
      <c r="N9" s="7">
        <v>10</v>
      </c>
      <c r="O9" s="7">
        <v>70</v>
      </c>
      <c r="P9" s="16">
        <f t="shared" si="4"/>
        <v>80</v>
      </c>
      <c r="Q9" s="7">
        <f t="shared" si="5"/>
        <v>20</v>
      </c>
    </row>
    <row r="10" spans="1:17" x14ac:dyDescent="0.3">
      <c r="A10" s="1">
        <v>6</v>
      </c>
      <c r="B10" s="3">
        <v>33</v>
      </c>
      <c r="C10" s="3">
        <v>58</v>
      </c>
      <c r="D10" s="7">
        <f t="shared" si="0"/>
        <v>91</v>
      </c>
      <c r="E10" s="3">
        <v>9</v>
      </c>
      <c r="F10" s="7">
        <v>14</v>
      </c>
      <c r="G10" s="7">
        <v>79</v>
      </c>
      <c r="H10" s="19">
        <f t="shared" si="1"/>
        <v>93</v>
      </c>
      <c r="I10" s="7">
        <f t="shared" si="2"/>
        <v>7</v>
      </c>
      <c r="J10" s="3">
        <v>31</v>
      </c>
      <c r="K10" s="3">
        <v>52</v>
      </c>
      <c r="L10" s="16">
        <f t="shared" si="3"/>
        <v>83</v>
      </c>
      <c r="M10" s="3">
        <f>100-(K10+J10)</f>
        <v>17</v>
      </c>
      <c r="N10" s="7">
        <v>13</v>
      </c>
      <c r="O10" s="7">
        <v>74</v>
      </c>
      <c r="P10" s="16">
        <f t="shared" si="4"/>
        <v>87</v>
      </c>
      <c r="Q10" s="7">
        <f t="shared" si="5"/>
        <v>13</v>
      </c>
    </row>
    <row r="11" spans="1:17" ht="31.8" customHeight="1" x14ac:dyDescent="0.3">
      <c r="A11" s="2" t="s">
        <v>11</v>
      </c>
      <c r="B11" s="4">
        <f>(B5+B6+B7+B8+B9+B10)/6</f>
        <v>22.333333333333332</v>
      </c>
      <c r="C11" s="4">
        <f>(C5+C6+C7+C8+C9+C10)/6</f>
        <v>62.166666666666664</v>
      </c>
      <c r="D11" s="8">
        <v>84</v>
      </c>
      <c r="E11" s="4">
        <f t="shared" ref="E11" si="6">(E5+E6+E7+E8+E9+E10)/6</f>
        <v>15.5</v>
      </c>
      <c r="F11" s="8">
        <f>(F5+F6+F7+F8+F9+F10)/6</f>
        <v>15.833333333333334</v>
      </c>
      <c r="G11" s="8">
        <f>(G5+G6+G7+G8+G9+G10)/6</f>
        <v>71.5</v>
      </c>
      <c r="H11" s="20">
        <v>88</v>
      </c>
      <c r="I11" s="8">
        <v>12</v>
      </c>
      <c r="J11" s="4">
        <f t="shared" ref="J11" si="7">(J5+J6+J7+J8+J9+J10)/6</f>
        <v>27.5</v>
      </c>
      <c r="K11" s="4">
        <f t="shared" ref="K11" si="8">(K5+K6+K7+K8+K9+K10)/6</f>
        <v>53.666666666666664</v>
      </c>
      <c r="L11" s="17">
        <v>82</v>
      </c>
      <c r="M11" s="4">
        <v>18</v>
      </c>
      <c r="N11" s="8">
        <f>(N5+N6+N7+N8+N9+N10)/6</f>
        <v>13.5</v>
      </c>
      <c r="O11" s="8">
        <f>(O5+O6+O7+O8+O9+O10)/6</f>
        <v>69.333333333333329</v>
      </c>
      <c r="P11" s="17">
        <v>83</v>
      </c>
      <c r="Q11" s="8">
        <v>17</v>
      </c>
    </row>
    <row r="14" spans="1:17" x14ac:dyDescent="0.3">
      <c r="A14" s="10" t="s">
        <v>8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</row>
    <row r="15" spans="1:17" x14ac:dyDescent="0.3">
      <c r="A15" s="11" t="s">
        <v>4</v>
      </c>
      <c r="B15" s="12" t="s">
        <v>2</v>
      </c>
      <c r="C15" s="12"/>
      <c r="D15" s="12"/>
      <c r="E15" s="12"/>
      <c r="F15" s="12"/>
      <c r="G15" s="12"/>
      <c r="H15" s="12"/>
      <c r="I15" s="12"/>
      <c r="J15" s="12" t="s">
        <v>3</v>
      </c>
      <c r="K15" s="12"/>
      <c r="L15" s="12"/>
      <c r="M15" s="12"/>
      <c r="N15" s="12"/>
      <c r="O15" s="12"/>
      <c r="P15" s="12"/>
      <c r="Q15" s="12"/>
    </row>
    <row r="16" spans="1:17" x14ac:dyDescent="0.3">
      <c r="A16" s="11"/>
      <c r="B16" s="13" t="s">
        <v>0</v>
      </c>
      <c r="C16" s="13"/>
      <c r="D16" s="13"/>
      <c r="E16" s="13"/>
      <c r="F16" s="13" t="s">
        <v>1</v>
      </c>
      <c r="G16" s="13"/>
      <c r="H16" s="13"/>
      <c r="I16" s="13"/>
      <c r="J16" s="13" t="s">
        <v>0</v>
      </c>
      <c r="K16" s="13"/>
      <c r="L16" s="13"/>
      <c r="M16" s="13"/>
      <c r="N16" s="13" t="s">
        <v>1</v>
      </c>
      <c r="O16" s="13"/>
      <c r="P16" s="13"/>
      <c r="Q16" s="13"/>
    </row>
    <row r="17" spans="1:17" ht="48.6" customHeight="1" x14ac:dyDescent="0.3">
      <c r="B17" s="6" t="s">
        <v>5</v>
      </c>
      <c r="C17" s="6" t="s">
        <v>6</v>
      </c>
      <c r="D17" s="9" t="s">
        <v>13</v>
      </c>
      <c r="E17" s="6" t="s">
        <v>10</v>
      </c>
      <c r="F17" s="9" t="s">
        <v>5</v>
      </c>
      <c r="G17" s="9" t="s">
        <v>6</v>
      </c>
      <c r="H17" s="18" t="s">
        <v>13</v>
      </c>
      <c r="I17" s="9" t="s">
        <v>10</v>
      </c>
      <c r="J17" s="6" t="s">
        <v>5</v>
      </c>
      <c r="K17" s="6" t="s">
        <v>6</v>
      </c>
      <c r="L17" s="15" t="s">
        <v>13</v>
      </c>
      <c r="M17" s="6" t="s">
        <v>10</v>
      </c>
      <c r="N17" s="9" t="s">
        <v>5</v>
      </c>
      <c r="O17" s="9" t="s">
        <v>6</v>
      </c>
      <c r="P17" s="15" t="s">
        <v>13</v>
      </c>
      <c r="Q17" s="9" t="s">
        <v>10</v>
      </c>
    </row>
    <row r="18" spans="1:17" x14ac:dyDescent="0.3">
      <c r="A18" s="1">
        <v>1</v>
      </c>
      <c r="B18" s="3">
        <v>11</v>
      </c>
      <c r="C18" s="3">
        <v>70</v>
      </c>
      <c r="D18" s="7">
        <f>C18+B18</f>
        <v>81</v>
      </c>
      <c r="E18" s="3">
        <f>100-(B18+C18)</f>
        <v>19</v>
      </c>
      <c r="F18" s="7">
        <v>9</v>
      </c>
      <c r="G18" s="7">
        <v>64</v>
      </c>
      <c r="H18" s="19">
        <f>G18+F18</f>
        <v>73</v>
      </c>
      <c r="I18" s="7">
        <f>100-(G18+F18)</f>
        <v>27</v>
      </c>
      <c r="J18" s="3">
        <v>8</v>
      </c>
      <c r="K18" s="3">
        <v>67</v>
      </c>
      <c r="L18" s="16">
        <f>K18+J18</f>
        <v>75</v>
      </c>
      <c r="M18" s="3">
        <f>100-(K18+J18)</f>
        <v>25</v>
      </c>
      <c r="N18" s="7">
        <v>11</v>
      </c>
      <c r="O18" s="7">
        <v>75</v>
      </c>
      <c r="P18" s="16">
        <f>O18+N18</f>
        <v>86</v>
      </c>
      <c r="Q18" s="7">
        <f>100-(O18+N18)</f>
        <v>14</v>
      </c>
    </row>
    <row r="19" spans="1:17" x14ac:dyDescent="0.3">
      <c r="A19" s="1">
        <v>2</v>
      </c>
      <c r="B19" s="3">
        <v>15</v>
      </c>
      <c r="C19" s="3">
        <v>65</v>
      </c>
      <c r="D19" s="7">
        <f t="shared" ref="D19:D23" si="9">C19+B19</f>
        <v>80</v>
      </c>
      <c r="E19" s="3">
        <f t="shared" ref="E19:E23" si="10">100-(B19+C19)</f>
        <v>20</v>
      </c>
      <c r="F19" s="7">
        <v>12</v>
      </c>
      <c r="G19" s="7">
        <v>66</v>
      </c>
      <c r="H19" s="19">
        <f t="shared" ref="H19:H23" si="11">G19+F19</f>
        <v>78</v>
      </c>
      <c r="I19" s="7">
        <f t="shared" ref="I19:I23" si="12">100-(G19+F19)</f>
        <v>22</v>
      </c>
      <c r="J19" s="3">
        <v>11</v>
      </c>
      <c r="K19" s="3">
        <v>69</v>
      </c>
      <c r="L19" s="16">
        <f t="shared" ref="L19:L23" si="13">K19+J19</f>
        <v>80</v>
      </c>
      <c r="M19" s="3">
        <f>100-(K19+J19)</f>
        <v>20</v>
      </c>
      <c r="N19" s="7">
        <v>10</v>
      </c>
      <c r="O19" s="7">
        <v>71</v>
      </c>
      <c r="P19" s="16">
        <f t="shared" ref="P19:P23" si="14">O19+N19</f>
        <v>81</v>
      </c>
      <c r="Q19" s="7">
        <f t="shared" ref="Q19:Q23" si="15">100-(O19+N19)</f>
        <v>19</v>
      </c>
    </row>
    <row r="20" spans="1:17" x14ac:dyDescent="0.3">
      <c r="A20" s="1">
        <v>3</v>
      </c>
      <c r="B20" s="3">
        <v>13</v>
      </c>
      <c r="C20" s="3">
        <v>67</v>
      </c>
      <c r="D20" s="7">
        <f t="shared" si="9"/>
        <v>80</v>
      </c>
      <c r="E20" s="3">
        <f t="shared" si="10"/>
        <v>20</v>
      </c>
      <c r="F20" s="7">
        <v>17</v>
      </c>
      <c r="G20" s="7">
        <v>65</v>
      </c>
      <c r="H20" s="19">
        <f t="shared" si="11"/>
        <v>82</v>
      </c>
      <c r="I20" s="7">
        <f t="shared" si="12"/>
        <v>18</v>
      </c>
      <c r="J20" s="3">
        <v>13</v>
      </c>
      <c r="K20" s="3">
        <v>74</v>
      </c>
      <c r="L20" s="16">
        <f t="shared" si="13"/>
        <v>87</v>
      </c>
      <c r="M20" s="3">
        <f>100-(K20+J20)</f>
        <v>13</v>
      </c>
      <c r="N20" s="7">
        <v>15</v>
      </c>
      <c r="O20" s="7">
        <v>70</v>
      </c>
      <c r="P20" s="16">
        <f t="shared" si="14"/>
        <v>85</v>
      </c>
      <c r="Q20" s="7">
        <f t="shared" si="15"/>
        <v>15</v>
      </c>
    </row>
    <row r="21" spans="1:17" x14ac:dyDescent="0.3">
      <c r="A21" s="1">
        <v>4</v>
      </c>
      <c r="B21" s="3">
        <v>10</v>
      </c>
      <c r="C21" s="3">
        <v>63</v>
      </c>
      <c r="D21" s="7">
        <f t="shared" si="9"/>
        <v>73</v>
      </c>
      <c r="E21" s="3">
        <f t="shared" si="10"/>
        <v>27</v>
      </c>
      <c r="F21" s="7">
        <v>11</v>
      </c>
      <c r="G21" s="7">
        <v>69</v>
      </c>
      <c r="H21" s="19">
        <f t="shared" si="11"/>
        <v>80</v>
      </c>
      <c r="I21" s="7">
        <f t="shared" si="12"/>
        <v>20</v>
      </c>
      <c r="J21" s="3">
        <v>7</v>
      </c>
      <c r="K21" s="3">
        <v>66</v>
      </c>
      <c r="L21" s="16">
        <f t="shared" si="13"/>
        <v>73</v>
      </c>
      <c r="M21" s="3">
        <f>100-(K21+J21)</f>
        <v>27</v>
      </c>
      <c r="N21" s="7">
        <v>9</v>
      </c>
      <c r="O21" s="7">
        <v>74</v>
      </c>
      <c r="P21" s="16">
        <f t="shared" si="14"/>
        <v>83</v>
      </c>
      <c r="Q21" s="7">
        <f t="shared" si="15"/>
        <v>17</v>
      </c>
    </row>
    <row r="22" spans="1:17" x14ac:dyDescent="0.3">
      <c r="A22" s="1">
        <v>5</v>
      </c>
      <c r="B22" s="3">
        <v>21</v>
      </c>
      <c r="C22" s="3">
        <v>68</v>
      </c>
      <c r="D22" s="7">
        <f t="shared" si="9"/>
        <v>89</v>
      </c>
      <c r="E22" s="3">
        <f t="shared" si="10"/>
        <v>11</v>
      </c>
      <c r="F22" s="7">
        <v>15</v>
      </c>
      <c r="G22" s="7">
        <v>72</v>
      </c>
      <c r="H22" s="19">
        <f t="shared" si="11"/>
        <v>87</v>
      </c>
      <c r="I22" s="7">
        <f t="shared" si="12"/>
        <v>13</v>
      </c>
      <c r="J22" s="3">
        <v>10</v>
      </c>
      <c r="K22" s="3">
        <v>72</v>
      </c>
      <c r="L22" s="16">
        <f t="shared" si="13"/>
        <v>82</v>
      </c>
      <c r="M22" s="3">
        <f>100-(K22+J22)</f>
        <v>18</v>
      </c>
      <c r="N22" s="7">
        <v>11</v>
      </c>
      <c r="O22" s="7">
        <v>69</v>
      </c>
      <c r="P22" s="16">
        <f t="shared" si="14"/>
        <v>80</v>
      </c>
      <c r="Q22" s="7">
        <f t="shared" si="15"/>
        <v>20</v>
      </c>
    </row>
    <row r="23" spans="1:17" x14ac:dyDescent="0.3">
      <c r="A23" s="1">
        <v>6</v>
      </c>
      <c r="B23" s="3">
        <v>18</v>
      </c>
      <c r="C23" s="3">
        <v>72</v>
      </c>
      <c r="D23" s="7">
        <f t="shared" si="9"/>
        <v>90</v>
      </c>
      <c r="E23" s="3">
        <f t="shared" si="10"/>
        <v>10</v>
      </c>
      <c r="F23" s="7">
        <v>10</v>
      </c>
      <c r="G23" s="7">
        <v>75</v>
      </c>
      <c r="H23" s="19">
        <f t="shared" si="11"/>
        <v>85</v>
      </c>
      <c r="I23" s="7">
        <f t="shared" si="12"/>
        <v>15</v>
      </c>
      <c r="J23" s="3">
        <v>12</v>
      </c>
      <c r="K23" s="3">
        <v>77</v>
      </c>
      <c r="L23" s="16">
        <f t="shared" si="13"/>
        <v>89</v>
      </c>
      <c r="M23" s="3">
        <f>100-(K23+J23)</f>
        <v>11</v>
      </c>
      <c r="N23" s="7">
        <v>9</v>
      </c>
      <c r="O23" s="7">
        <v>73</v>
      </c>
      <c r="P23" s="16">
        <f t="shared" si="14"/>
        <v>82</v>
      </c>
      <c r="Q23" s="7">
        <f t="shared" si="15"/>
        <v>18</v>
      </c>
    </row>
    <row r="24" spans="1:17" ht="28.8" x14ac:dyDescent="0.3">
      <c r="A24" s="2" t="s">
        <v>11</v>
      </c>
      <c r="B24" s="4">
        <f>(B18+B19+B20+B21+B22+B23)/6</f>
        <v>14.666666666666666</v>
      </c>
      <c r="C24" s="4">
        <f>(C18+C19+C20+C21+C22+C23)/6</f>
        <v>67.5</v>
      </c>
      <c r="D24" s="8">
        <v>83</v>
      </c>
      <c r="E24" s="4">
        <f>17</f>
        <v>17</v>
      </c>
      <c r="F24" s="8">
        <f>(F18+F19+F20+F21+F22+F23)/6</f>
        <v>12.333333333333334</v>
      </c>
      <c r="G24" s="8">
        <f>(G18+G19+G20+G21+G22+G23)/6</f>
        <v>68.5</v>
      </c>
      <c r="H24" s="20">
        <v>88</v>
      </c>
      <c r="I24" s="8">
        <v>12</v>
      </c>
      <c r="J24" s="4">
        <f t="shared" ref="J24" si="16">(J18+J19+J20+J21+J22+J23)/6</f>
        <v>10.166666666666666</v>
      </c>
      <c r="K24" s="4">
        <f t="shared" ref="K24" si="17">(K18+K19+K20+K21+K22+K23)/6</f>
        <v>70.833333333333329</v>
      </c>
      <c r="L24" s="17">
        <v>81</v>
      </c>
      <c r="M24" s="4">
        <f>100-(J24+K24)</f>
        <v>19</v>
      </c>
      <c r="N24" s="8">
        <f>(N18+N19+N20+N21+N22+N23)/6</f>
        <v>10.833333333333334</v>
      </c>
      <c r="O24" s="8">
        <f>(O18+O19+O20+O21+O22+O23)/6</f>
        <v>72</v>
      </c>
      <c r="P24" s="17">
        <v>83</v>
      </c>
      <c r="Q24" s="8">
        <v>17</v>
      </c>
    </row>
    <row r="25" spans="1:17" x14ac:dyDescent="0.3">
      <c r="B25" s="5"/>
      <c r="C25" s="5"/>
      <c r="D25" s="5"/>
      <c r="E25" s="5"/>
      <c r="J25" s="5"/>
      <c r="K25" s="5"/>
      <c r="L25" s="14"/>
    </row>
    <row r="27" spans="1:17" ht="19.2" customHeight="1" x14ac:dyDescent="0.3">
      <c r="A27" s="10" t="s">
        <v>9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</row>
    <row r="28" spans="1:17" x14ac:dyDescent="0.3">
      <c r="A28" s="11" t="s">
        <v>4</v>
      </c>
      <c r="B28" s="12" t="s">
        <v>2</v>
      </c>
      <c r="C28" s="12"/>
      <c r="D28" s="12"/>
      <c r="E28" s="12"/>
      <c r="F28" s="12"/>
      <c r="G28" s="12"/>
      <c r="H28" s="12"/>
      <c r="I28" s="12"/>
      <c r="J28" s="12" t="s">
        <v>3</v>
      </c>
      <c r="K28" s="12"/>
      <c r="L28" s="12"/>
      <c r="M28" s="12"/>
      <c r="N28" s="12"/>
      <c r="O28" s="12"/>
      <c r="P28" s="12"/>
      <c r="Q28" s="12"/>
    </row>
    <row r="29" spans="1:17" x14ac:dyDescent="0.3">
      <c r="A29" s="11"/>
      <c r="B29" s="13" t="s">
        <v>0</v>
      </c>
      <c r="C29" s="13"/>
      <c r="D29" s="13"/>
      <c r="E29" s="13"/>
      <c r="F29" s="13" t="s">
        <v>1</v>
      </c>
      <c r="G29" s="13"/>
      <c r="H29" s="13"/>
      <c r="I29" s="13"/>
      <c r="J29" s="13" t="s">
        <v>0</v>
      </c>
      <c r="K29" s="13"/>
      <c r="L29" s="13"/>
      <c r="M29" s="13"/>
      <c r="N29" s="13" t="s">
        <v>1</v>
      </c>
      <c r="O29" s="13"/>
      <c r="P29" s="13"/>
      <c r="Q29" s="13"/>
    </row>
    <row r="30" spans="1:17" ht="48" customHeight="1" x14ac:dyDescent="0.3">
      <c r="B30" s="6" t="s">
        <v>5</v>
      </c>
      <c r="C30" s="6" t="s">
        <v>6</v>
      </c>
      <c r="D30" s="9" t="s">
        <v>13</v>
      </c>
      <c r="E30" s="6" t="s">
        <v>10</v>
      </c>
      <c r="F30" s="9" t="s">
        <v>5</v>
      </c>
      <c r="G30" s="9" t="s">
        <v>6</v>
      </c>
      <c r="H30" s="18" t="s">
        <v>13</v>
      </c>
      <c r="I30" s="9" t="s">
        <v>10</v>
      </c>
      <c r="J30" s="6" t="s">
        <v>5</v>
      </c>
      <c r="K30" s="6" t="s">
        <v>6</v>
      </c>
      <c r="L30" s="15" t="s">
        <v>13</v>
      </c>
      <c r="M30" s="6" t="s">
        <v>10</v>
      </c>
      <c r="N30" s="9" t="s">
        <v>5</v>
      </c>
      <c r="O30" s="9" t="s">
        <v>6</v>
      </c>
      <c r="P30" s="15" t="s">
        <v>13</v>
      </c>
      <c r="Q30" s="9" t="s">
        <v>10</v>
      </c>
    </row>
    <row r="31" spans="1:17" x14ac:dyDescent="0.3">
      <c r="A31" s="1">
        <v>1</v>
      </c>
      <c r="B31" s="3">
        <v>9</v>
      </c>
      <c r="C31" s="3">
        <v>68</v>
      </c>
      <c r="D31" s="7">
        <f>C31+B31</f>
        <v>77</v>
      </c>
      <c r="E31" s="3">
        <v>23</v>
      </c>
      <c r="F31" s="7">
        <v>15</v>
      </c>
      <c r="G31" s="7">
        <v>70</v>
      </c>
      <c r="H31" s="19">
        <f>G31+F31</f>
        <v>85</v>
      </c>
      <c r="I31" s="7">
        <f>100-(G31+F31)</f>
        <v>15</v>
      </c>
      <c r="J31" s="3">
        <v>10</v>
      </c>
      <c r="K31" s="3">
        <v>70</v>
      </c>
      <c r="L31" s="16">
        <f>K31+J31</f>
        <v>80</v>
      </c>
      <c r="M31" s="3">
        <f>100-(K31+J31)</f>
        <v>20</v>
      </c>
      <c r="N31" s="7">
        <v>6</v>
      </c>
      <c r="O31" s="7">
        <v>72</v>
      </c>
      <c r="P31" s="16">
        <f>O31+N31</f>
        <v>78</v>
      </c>
      <c r="Q31" s="7">
        <f>100-(O31+N31)</f>
        <v>22</v>
      </c>
    </row>
    <row r="32" spans="1:17" x14ac:dyDescent="0.3">
      <c r="A32" s="1">
        <v>2</v>
      </c>
      <c r="B32" s="3">
        <v>25</v>
      </c>
      <c r="C32" s="3">
        <v>50</v>
      </c>
      <c r="D32" s="7">
        <f t="shared" ref="D32:D36" si="18">C32+B32</f>
        <v>75</v>
      </c>
      <c r="E32" s="3">
        <v>25</v>
      </c>
      <c r="F32" s="7">
        <v>21</v>
      </c>
      <c r="G32" s="7">
        <v>64</v>
      </c>
      <c r="H32" s="19">
        <f t="shared" ref="H32:H36" si="19">G32+F32</f>
        <v>85</v>
      </c>
      <c r="I32" s="7">
        <f t="shared" ref="I32:I36" si="20">100-(G32+F32)</f>
        <v>15</v>
      </c>
      <c r="J32" s="3">
        <v>14</v>
      </c>
      <c r="K32" s="3">
        <v>64</v>
      </c>
      <c r="L32" s="16">
        <f t="shared" ref="L32:L36" si="21">K32+J32</f>
        <v>78</v>
      </c>
      <c r="M32" s="3">
        <f>100-(K32+J32)</f>
        <v>22</v>
      </c>
      <c r="N32" s="7">
        <v>10</v>
      </c>
      <c r="O32" s="7">
        <v>74</v>
      </c>
      <c r="P32" s="16">
        <f t="shared" ref="P32:P36" si="22">O32+N32</f>
        <v>84</v>
      </c>
      <c r="Q32" s="7">
        <f t="shared" ref="Q32:Q36" si="23">100-(O32+N32)</f>
        <v>16</v>
      </c>
    </row>
    <row r="33" spans="1:17" x14ac:dyDescent="0.3">
      <c r="A33" s="1">
        <v>3</v>
      </c>
      <c r="B33" s="3">
        <v>23</v>
      </c>
      <c r="C33" s="3">
        <v>69</v>
      </c>
      <c r="D33" s="7">
        <f t="shared" si="18"/>
        <v>92</v>
      </c>
      <c r="E33" s="3">
        <v>8</v>
      </c>
      <c r="F33" s="7">
        <v>24</v>
      </c>
      <c r="G33" s="7">
        <v>67</v>
      </c>
      <c r="H33" s="19">
        <f t="shared" si="19"/>
        <v>91</v>
      </c>
      <c r="I33" s="7">
        <f t="shared" si="20"/>
        <v>9</v>
      </c>
      <c r="J33" s="3">
        <v>11</v>
      </c>
      <c r="K33" s="3">
        <v>76</v>
      </c>
      <c r="L33" s="16">
        <f t="shared" si="21"/>
        <v>87</v>
      </c>
      <c r="M33" s="3">
        <f>100-(K33+J33)</f>
        <v>13</v>
      </c>
      <c r="N33" s="7">
        <v>17</v>
      </c>
      <c r="O33" s="7">
        <v>69</v>
      </c>
      <c r="P33" s="16">
        <f t="shared" si="22"/>
        <v>86</v>
      </c>
      <c r="Q33" s="7">
        <f t="shared" si="23"/>
        <v>14</v>
      </c>
    </row>
    <row r="34" spans="1:17" x14ac:dyDescent="0.3">
      <c r="A34" s="1">
        <v>4</v>
      </c>
      <c r="B34" s="3">
        <v>21</v>
      </c>
      <c r="C34" s="3">
        <v>63</v>
      </c>
      <c r="D34" s="7">
        <f t="shared" si="18"/>
        <v>84</v>
      </c>
      <c r="E34" s="3">
        <v>16</v>
      </c>
      <c r="F34" s="7">
        <v>9</v>
      </c>
      <c r="G34" s="7">
        <v>73</v>
      </c>
      <c r="H34" s="19">
        <f t="shared" si="19"/>
        <v>82</v>
      </c>
      <c r="I34" s="7">
        <f t="shared" si="20"/>
        <v>18</v>
      </c>
      <c r="J34" s="3">
        <v>9</v>
      </c>
      <c r="K34" s="3">
        <v>72</v>
      </c>
      <c r="L34" s="16">
        <f t="shared" si="21"/>
        <v>81</v>
      </c>
      <c r="M34" s="3">
        <f>100-(K34+J34)</f>
        <v>19</v>
      </c>
      <c r="N34" s="7">
        <v>16</v>
      </c>
      <c r="O34" s="7">
        <v>63</v>
      </c>
      <c r="P34" s="16">
        <f t="shared" si="22"/>
        <v>79</v>
      </c>
      <c r="Q34" s="7">
        <f t="shared" si="23"/>
        <v>21</v>
      </c>
    </row>
    <row r="35" spans="1:17" x14ac:dyDescent="0.3">
      <c r="A35" s="1">
        <v>5</v>
      </c>
      <c r="B35" s="3">
        <v>23</v>
      </c>
      <c r="C35" s="3">
        <v>65</v>
      </c>
      <c r="D35" s="7">
        <f t="shared" si="18"/>
        <v>88</v>
      </c>
      <c r="E35" s="3">
        <v>12</v>
      </c>
      <c r="F35" s="7">
        <v>12</v>
      </c>
      <c r="G35" s="7">
        <v>76</v>
      </c>
      <c r="H35" s="19">
        <f t="shared" si="19"/>
        <v>88</v>
      </c>
      <c r="I35" s="7">
        <f t="shared" si="20"/>
        <v>12</v>
      </c>
      <c r="J35" s="3">
        <v>12</v>
      </c>
      <c r="K35" s="3">
        <v>77</v>
      </c>
      <c r="L35" s="16">
        <f t="shared" si="21"/>
        <v>89</v>
      </c>
      <c r="M35" s="3">
        <f>100-(K35+J35)</f>
        <v>11</v>
      </c>
      <c r="N35" s="7">
        <v>12</v>
      </c>
      <c r="O35" s="7">
        <v>66</v>
      </c>
      <c r="P35" s="16">
        <f t="shared" si="22"/>
        <v>78</v>
      </c>
      <c r="Q35" s="7">
        <f t="shared" si="23"/>
        <v>22</v>
      </c>
    </row>
    <row r="36" spans="1:17" x14ac:dyDescent="0.3">
      <c r="A36" s="1">
        <v>6</v>
      </c>
      <c r="B36" s="3">
        <v>33</v>
      </c>
      <c r="C36" s="3">
        <v>58</v>
      </c>
      <c r="D36" s="7">
        <f t="shared" si="18"/>
        <v>91</v>
      </c>
      <c r="E36" s="3">
        <v>9</v>
      </c>
      <c r="F36" s="7">
        <v>14</v>
      </c>
      <c r="G36" s="7">
        <v>79</v>
      </c>
      <c r="H36" s="19">
        <f t="shared" si="19"/>
        <v>93</v>
      </c>
      <c r="I36" s="7">
        <f t="shared" si="20"/>
        <v>7</v>
      </c>
      <c r="J36" s="3">
        <v>7</v>
      </c>
      <c r="K36" s="3">
        <v>79</v>
      </c>
      <c r="L36" s="16">
        <f t="shared" si="21"/>
        <v>86</v>
      </c>
      <c r="M36" s="3">
        <f>100-(K36+J36)</f>
        <v>14</v>
      </c>
      <c r="N36" s="7">
        <v>15</v>
      </c>
      <c r="O36" s="7">
        <v>72</v>
      </c>
      <c r="P36" s="16">
        <f t="shared" si="22"/>
        <v>87</v>
      </c>
      <c r="Q36" s="7">
        <f t="shared" si="23"/>
        <v>13</v>
      </c>
    </row>
    <row r="37" spans="1:17" ht="28.8" x14ac:dyDescent="0.3">
      <c r="A37" s="2" t="s">
        <v>12</v>
      </c>
      <c r="B37" s="4">
        <f>(B31+B32+B33+B34+B35+B36)/6</f>
        <v>22.333333333333332</v>
      </c>
      <c r="C37" s="4">
        <f>(C31+C32+C33+C34+C35+C36)/6</f>
        <v>62.166666666666664</v>
      </c>
      <c r="D37" s="8">
        <v>84</v>
      </c>
      <c r="E37" s="4">
        <f t="shared" ref="E37" si="24">(E31+E32+E33+E34+E35+E36)/6</f>
        <v>15.5</v>
      </c>
      <c r="F37" s="8">
        <f>(F31+F32+F33+F34+F35+F36)/6</f>
        <v>15.833333333333334</v>
      </c>
      <c r="G37" s="8">
        <f>(G31+G32+G33+G34+G35+G36)/6</f>
        <v>71.5</v>
      </c>
      <c r="H37" s="20">
        <v>88</v>
      </c>
      <c r="I37" s="8">
        <v>12</v>
      </c>
      <c r="J37" s="4">
        <f t="shared" ref="J37" si="25">(J31+J32+J33+J34+J35+J36)/6</f>
        <v>10.5</v>
      </c>
      <c r="K37" s="4">
        <f t="shared" ref="K37" si="26">(K31+K32+K33+K34+K35+K36)/6</f>
        <v>73</v>
      </c>
      <c r="L37" s="17">
        <v>84</v>
      </c>
      <c r="M37" s="4">
        <v>16</v>
      </c>
      <c r="N37" s="8">
        <f>(N31+N32+N33+N34+N35+N36)/6</f>
        <v>12.666666666666666</v>
      </c>
      <c r="O37" s="8">
        <f>(O31+O32+O33+O34+O35+O36)/6</f>
        <v>69.333333333333329</v>
      </c>
      <c r="P37" s="17">
        <v>82</v>
      </c>
      <c r="Q37" s="8">
        <v>18</v>
      </c>
    </row>
  </sheetData>
  <mergeCells count="24">
    <mergeCell ref="A1:Q1"/>
    <mergeCell ref="B2:I2"/>
    <mergeCell ref="J2:Q2"/>
    <mergeCell ref="B3:E3"/>
    <mergeCell ref="F3:I3"/>
    <mergeCell ref="J3:M3"/>
    <mergeCell ref="N3:Q3"/>
    <mergeCell ref="A2:A3"/>
    <mergeCell ref="A14:Q14"/>
    <mergeCell ref="A15:A16"/>
    <mergeCell ref="B15:I15"/>
    <mergeCell ref="J15:Q15"/>
    <mergeCell ref="B16:E16"/>
    <mergeCell ref="F16:I16"/>
    <mergeCell ref="J16:M16"/>
    <mergeCell ref="N16:Q16"/>
    <mergeCell ref="A27:Q27"/>
    <mergeCell ref="A28:A29"/>
    <mergeCell ref="B28:I28"/>
    <mergeCell ref="J28:Q28"/>
    <mergeCell ref="B29:E29"/>
    <mergeCell ref="F29:I29"/>
    <mergeCell ref="J29:M29"/>
    <mergeCell ref="N29:Q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Метрики по 3 кейсам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Алиса Мордовская</dc:creator>
  <cp:lastModifiedBy>Алиса Мордовская</cp:lastModifiedBy>
  <dcterms:created xsi:type="dcterms:W3CDTF">2025-06-05T12:31:04Z</dcterms:created>
  <dcterms:modified xsi:type="dcterms:W3CDTF">2025-06-06T18:04:38Z</dcterms:modified>
</cp:coreProperties>
</file>