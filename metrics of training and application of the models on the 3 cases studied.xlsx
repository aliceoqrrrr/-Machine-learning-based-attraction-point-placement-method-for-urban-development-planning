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9243\Desktop\MU\03_ИТМО\ВКР\"/>
    </mc:Choice>
  </mc:AlternateContent>
  <xr:revisionPtr revIDLastSave="0" documentId="13_ncr:1_{45550187-081F-4E46-8616-CB5D1BD794F9}" xr6:coauthVersionLast="47" xr6:coauthVersionMax="47" xr10:uidLastSave="{00000000-0000-0000-0000-000000000000}"/>
  <bookViews>
    <workbookView xWindow="-108" yWindow="-108" windowWidth="23256" windowHeight="12576" xr2:uid="{37D5F0A6-450B-48BB-BC64-BE87812B1242}"/>
  </bookViews>
  <sheets>
    <sheet name="Метрики по 3 кейсам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4" i="2" l="1"/>
  <c r="H54" i="2"/>
  <c r="I53" i="2"/>
  <c r="H53" i="2"/>
  <c r="I52" i="2"/>
  <c r="H52" i="2"/>
  <c r="I51" i="2"/>
  <c r="H51" i="2"/>
  <c r="I50" i="2"/>
  <c r="H50" i="2"/>
  <c r="I49" i="2"/>
  <c r="H49" i="2"/>
  <c r="Q30" i="2"/>
  <c r="Q31" i="2"/>
  <c r="Q32" i="2"/>
  <c r="Q33" i="2"/>
  <c r="Q34" i="2"/>
  <c r="Q35" i="2"/>
  <c r="P30" i="2"/>
  <c r="P31" i="2"/>
  <c r="P32" i="2"/>
  <c r="P33" i="2"/>
  <c r="P34" i="2"/>
  <c r="P35" i="2"/>
  <c r="O36" i="2"/>
  <c r="N36" i="2"/>
  <c r="Q49" i="2"/>
  <c r="Q50" i="2"/>
  <c r="Q51" i="2"/>
  <c r="Q52" i="2"/>
  <c r="Q53" i="2"/>
  <c r="Q54" i="2"/>
  <c r="P49" i="2"/>
  <c r="P50" i="2"/>
  <c r="P51" i="2"/>
  <c r="P52" i="2"/>
  <c r="P53" i="2"/>
  <c r="P54" i="2"/>
  <c r="Q55" i="2"/>
  <c r="O55" i="2"/>
  <c r="N55" i="2"/>
  <c r="I55" i="2"/>
  <c r="G55" i="2"/>
  <c r="F55" i="2"/>
  <c r="I30" i="2"/>
  <c r="I31" i="2"/>
  <c r="I32" i="2"/>
  <c r="I33" i="2"/>
  <c r="I34" i="2"/>
  <c r="I35" i="2"/>
  <c r="H30" i="2"/>
  <c r="H31" i="2"/>
  <c r="H32" i="2"/>
  <c r="H33" i="2"/>
  <c r="H34" i="2"/>
  <c r="H35" i="2"/>
  <c r="I36" i="2"/>
  <c r="G36" i="2"/>
  <c r="F36" i="2"/>
  <c r="Q11" i="2"/>
  <c r="Q12" i="2"/>
  <c r="Q13" i="2"/>
  <c r="Q14" i="2"/>
  <c r="Q15" i="2"/>
  <c r="Q16" i="2"/>
  <c r="P11" i="2"/>
  <c r="P12" i="2"/>
  <c r="P13" i="2"/>
  <c r="P14" i="2"/>
  <c r="P15" i="2"/>
  <c r="P16" i="2"/>
  <c r="Q17" i="2"/>
  <c r="O17" i="2"/>
  <c r="N17" i="2"/>
  <c r="I17" i="2"/>
  <c r="I11" i="2"/>
  <c r="I12" i="2"/>
  <c r="I13" i="2"/>
  <c r="I14" i="2"/>
  <c r="I15" i="2"/>
  <c r="I16" i="2"/>
  <c r="H11" i="2"/>
  <c r="H12" i="2"/>
  <c r="H13" i="2"/>
  <c r="H14" i="2"/>
  <c r="H15" i="2"/>
  <c r="H16" i="2"/>
  <c r="G17" i="2"/>
  <c r="F17" i="2"/>
  <c r="H48" i="2"/>
  <c r="H47" i="2"/>
  <c r="H46" i="2"/>
  <c r="H45" i="2"/>
  <c r="H44" i="2"/>
  <c r="H43" i="2"/>
  <c r="D48" i="2"/>
  <c r="D47" i="2"/>
  <c r="D46" i="2"/>
  <c r="D45" i="2"/>
  <c r="D44" i="2"/>
  <c r="D43" i="2"/>
  <c r="H29" i="2"/>
  <c r="H28" i="2"/>
  <c r="H27" i="2"/>
  <c r="H26" i="2"/>
  <c r="H25" i="2"/>
  <c r="H24" i="2"/>
  <c r="D29" i="2"/>
  <c r="D28" i="2"/>
  <c r="D27" i="2"/>
  <c r="D26" i="2"/>
  <c r="D25" i="2"/>
  <c r="D24" i="2"/>
  <c r="H10" i="2"/>
  <c r="H9" i="2"/>
  <c r="H8" i="2"/>
  <c r="H7" i="2"/>
  <c r="H6" i="2"/>
  <c r="H5" i="2"/>
  <c r="D10" i="2"/>
  <c r="D9" i="2"/>
  <c r="D8" i="2"/>
  <c r="D7" i="2"/>
  <c r="D6" i="2"/>
  <c r="D5" i="2"/>
  <c r="P48" i="2"/>
  <c r="P47" i="2"/>
  <c r="P46" i="2"/>
  <c r="P45" i="2"/>
  <c r="P44" i="2"/>
  <c r="P43" i="2"/>
  <c r="L48" i="2"/>
  <c r="L47" i="2"/>
  <c r="L46" i="2"/>
  <c r="L45" i="2"/>
  <c r="L44" i="2"/>
  <c r="L43" i="2"/>
  <c r="P29" i="2"/>
  <c r="P28" i="2"/>
  <c r="P27" i="2"/>
  <c r="P26" i="2"/>
  <c r="P25" i="2"/>
  <c r="P24" i="2"/>
  <c r="L29" i="2"/>
  <c r="L28" i="2"/>
  <c r="L27" i="2"/>
  <c r="L26" i="2"/>
  <c r="L25" i="2"/>
  <c r="L24" i="2"/>
  <c r="P5" i="2"/>
  <c r="P10" i="2"/>
  <c r="P9" i="2"/>
  <c r="P8" i="2"/>
  <c r="P7" i="2"/>
  <c r="P6" i="2"/>
  <c r="L6" i="2"/>
  <c r="L7" i="2"/>
  <c r="L8" i="2"/>
  <c r="L9" i="2"/>
  <c r="L10" i="2"/>
  <c r="L5" i="2"/>
  <c r="E36" i="2"/>
  <c r="E25" i="2"/>
  <c r="E26" i="2"/>
  <c r="E27" i="2"/>
  <c r="E28" i="2"/>
  <c r="E29" i="2"/>
  <c r="E24" i="2"/>
  <c r="K55" i="2"/>
  <c r="J55" i="2"/>
  <c r="E55" i="2"/>
  <c r="C55" i="2"/>
  <c r="B55" i="2"/>
  <c r="Q48" i="2"/>
  <c r="M48" i="2"/>
  <c r="I48" i="2"/>
  <c r="Q47" i="2"/>
  <c r="M47" i="2"/>
  <c r="I47" i="2"/>
  <c r="Q46" i="2"/>
  <c r="M46" i="2"/>
  <c r="I46" i="2"/>
  <c r="Q45" i="2"/>
  <c r="M45" i="2"/>
  <c r="I45" i="2"/>
  <c r="Q44" i="2"/>
  <c r="M44" i="2"/>
  <c r="I44" i="2"/>
  <c r="Q43" i="2"/>
  <c r="M43" i="2"/>
  <c r="I43" i="2"/>
  <c r="K36" i="2"/>
  <c r="J36" i="2"/>
  <c r="C36" i="2"/>
  <c r="B36" i="2"/>
  <c r="Q29" i="2"/>
  <c r="M29" i="2"/>
  <c r="I29" i="2"/>
  <c r="Q28" i="2"/>
  <c r="M28" i="2"/>
  <c r="I28" i="2"/>
  <c r="Q27" i="2"/>
  <c r="M27" i="2"/>
  <c r="I27" i="2"/>
  <c r="Q26" i="2"/>
  <c r="M26" i="2"/>
  <c r="I26" i="2"/>
  <c r="Q25" i="2"/>
  <c r="M25" i="2"/>
  <c r="I25" i="2"/>
  <c r="Q24" i="2"/>
  <c r="M24" i="2"/>
  <c r="I24" i="2"/>
  <c r="Q10" i="2"/>
  <c r="Q9" i="2"/>
  <c r="Q8" i="2"/>
  <c r="Q7" i="2"/>
  <c r="Q6" i="2"/>
  <c r="Q5" i="2"/>
  <c r="K17" i="2"/>
  <c r="J17" i="2"/>
  <c r="M10" i="2"/>
  <c r="M9" i="2"/>
  <c r="M8" i="2"/>
  <c r="M7" i="2"/>
  <c r="M6" i="2"/>
  <c r="M5" i="2"/>
  <c r="I6" i="2"/>
  <c r="I7" i="2"/>
  <c r="I8" i="2"/>
  <c r="I9" i="2"/>
  <c r="I10" i="2"/>
  <c r="I5" i="2"/>
  <c r="E17" i="2"/>
  <c r="C17" i="2"/>
  <c r="B17" i="2"/>
  <c r="M36" i="2" l="1"/>
</calcChain>
</file>

<file path=xl/sharedStrings.xml><?xml version="1.0" encoding="utf-8"?>
<sst xmlns="http://schemas.openxmlformats.org/spreadsheetml/2006/main" count="75" uniqueCount="14">
  <si>
    <t>верхний уровень</t>
  </si>
  <si>
    <t>средний уровень</t>
  </si>
  <si>
    <t>обучение</t>
  </si>
  <si>
    <t>применение</t>
  </si>
  <si>
    <t>№</t>
  </si>
  <si>
    <t>% попадания генерации в существующую точку</t>
  </si>
  <si>
    <t>% попадания генерации в заданный допуск</t>
  </si>
  <si>
    <t>Санкт-Петербург - Санкт-Петербург</t>
  </si>
  <si>
    <t>Челябинск - Челябинск</t>
  </si>
  <si>
    <t>Санкт-Петербург - Челябинск</t>
  </si>
  <si>
    <t>% выбросов</t>
  </si>
  <si>
    <t>ср.зн.</t>
  </si>
  <si>
    <t>ср. зн.</t>
  </si>
  <si>
    <t>% итоговой точности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</si>
</sst>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DD3E4"/>
        <bgColor indexed="64"/>
      </patternFill>
    </fill>
    <fill>
      <patternFill patternType="solid">
        <fgColor rgb="FFFAE2E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9E9FF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0" fontId="0" fillId="2" borderId="0" xfId="0" applyFill="1" applyAlignment="1">
      <alignment horizontal="center" vertical="center"/>
    </xf>
    <xf numFmtId="0" fontId="2" fillId="6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 wrapText="1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9E9FF"/>
      <color rgb="FFFDF2F6"/>
      <color rgb="FFFAE2EB"/>
      <color rgb="FFFCC0D8"/>
      <color rgb="FFFDD3E4"/>
      <color rgb="FF8ED2FF"/>
      <color rgb="FFF768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FD2A7-3BCE-4098-B0B9-7C38471272DA}">
  <dimension ref="A1:Q55"/>
  <sheetViews>
    <sheetView tabSelected="1" topLeftCell="B34" zoomScaleNormal="100" workbookViewId="0">
      <selection activeCell="O53" sqref="O53"/>
    </sheetView>
  </sheetViews>
  <sheetFormatPr defaultRowHeight="14.4" x14ac:dyDescent="0.3"/>
  <cols>
    <col min="1" max="1" width="3.5546875" customWidth="1"/>
    <col min="2" max="2" width="14.44140625" customWidth="1"/>
    <col min="3" max="3" width="14.77734375" customWidth="1"/>
    <col min="4" max="4" width="10" customWidth="1"/>
    <col min="5" max="5" width="10.77734375" customWidth="1"/>
    <col min="6" max="6" width="14.6640625" customWidth="1"/>
    <col min="7" max="7" width="14.88671875" customWidth="1"/>
    <col min="8" max="8" width="10.44140625" customWidth="1"/>
    <col min="9" max="9" width="10.6640625" customWidth="1"/>
    <col min="10" max="10" width="14.21875" customWidth="1"/>
    <col min="11" max="11" width="15.33203125" customWidth="1"/>
    <col min="12" max="12" width="10.6640625" customWidth="1"/>
    <col min="13" max="13" width="11" customWidth="1"/>
    <col min="14" max="14" width="14.21875" customWidth="1"/>
    <col min="15" max="15" width="14.77734375" customWidth="1"/>
    <col min="16" max="16" width="10.21875" customWidth="1"/>
    <col min="17" max="17" width="10.88671875" customWidth="1"/>
  </cols>
  <sheetData>
    <row r="1" spans="1:17" ht="18" customHeight="1" x14ac:dyDescent="0.3">
      <c r="A1" s="17" t="s">
        <v>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x14ac:dyDescent="0.3">
      <c r="A2" s="20" t="s">
        <v>4</v>
      </c>
      <c r="B2" s="18" t="s">
        <v>2</v>
      </c>
      <c r="C2" s="18"/>
      <c r="D2" s="18"/>
      <c r="E2" s="18"/>
      <c r="F2" s="18"/>
      <c r="G2" s="18"/>
      <c r="H2" s="18"/>
      <c r="I2" s="18"/>
      <c r="J2" s="18" t="s">
        <v>3</v>
      </c>
      <c r="K2" s="18"/>
      <c r="L2" s="18"/>
      <c r="M2" s="18"/>
      <c r="N2" s="18"/>
      <c r="O2" s="18"/>
      <c r="P2" s="18"/>
      <c r="Q2" s="18"/>
    </row>
    <row r="3" spans="1:17" x14ac:dyDescent="0.3">
      <c r="A3" s="20"/>
      <c r="B3" s="19" t="s">
        <v>0</v>
      </c>
      <c r="C3" s="19"/>
      <c r="D3" s="19"/>
      <c r="E3" s="19"/>
      <c r="F3" s="19" t="s">
        <v>1</v>
      </c>
      <c r="G3" s="19"/>
      <c r="H3" s="19"/>
      <c r="I3" s="19"/>
      <c r="J3" s="19" t="s">
        <v>0</v>
      </c>
      <c r="K3" s="19"/>
      <c r="L3" s="19"/>
      <c r="M3" s="19"/>
      <c r="N3" s="19" t="s">
        <v>1</v>
      </c>
      <c r="O3" s="19"/>
      <c r="P3" s="19"/>
      <c r="Q3" s="19"/>
    </row>
    <row r="4" spans="1:17" ht="55.2" x14ac:dyDescent="0.3">
      <c r="B4" s="6" t="s">
        <v>5</v>
      </c>
      <c r="C4" s="6" t="s">
        <v>6</v>
      </c>
      <c r="D4" s="9" t="s">
        <v>13</v>
      </c>
      <c r="E4" s="6" t="s">
        <v>10</v>
      </c>
      <c r="F4" s="9" t="s">
        <v>5</v>
      </c>
      <c r="G4" s="9" t="s">
        <v>6</v>
      </c>
      <c r="H4" s="14" t="s">
        <v>13</v>
      </c>
      <c r="I4" s="9" t="s">
        <v>10</v>
      </c>
      <c r="J4" s="6" t="s">
        <v>5</v>
      </c>
      <c r="K4" s="6" t="s">
        <v>6</v>
      </c>
      <c r="L4" s="11" t="s">
        <v>13</v>
      </c>
      <c r="M4" s="6" t="s">
        <v>10</v>
      </c>
      <c r="N4" s="9" t="s">
        <v>5</v>
      </c>
      <c r="O4" s="9" t="s">
        <v>6</v>
      </c>
      <c r="P4" s="11" t="s">
        <v>13</v>
      </c>
      <c r="Q4" s="9" t="s">
        <v>10</v>
      </c>
    </row>
    <row r="5" spans="1:17" x14ac:dyDescent="0.3">
      <c r="A5" s="1">
        <v>1</v>
      </c>
      <c r="B5" s="3">
        <v>9</v>
      </c>
      <c r="C5" s="3">
        <v>68</v>
      </c>
      <c r="D5" s="7">
        <f>C5+B5</f>
        <v>77</v>
      </c>
      <c r="E5" s="3">
        <v>23</v>
      </c>
      <c r="F5" s="7">
        <v>15</v>
      </c>
      <c r="G5" s="7">
        <v>70</v>
      </c>
      <c r="H5" s="15">
        <f>G5+F5</f>
        <v>85</v>
      </c>
      <c r="I5" s="7">
        <f>100-(G5+F5)</f>
        <v>15</v>
      </c>
      <c r="J5" s="3">
        <v>21</v>
      </c>
      <c r="K5" s="3">
        <v>49</v>
      </c>
      <c r="L5" s="12">
        <f>K5+J5</f>
        <v>70</v>
      </c>
      <c r="M5" s="3">
        <f t="shared" ref="M5:M10" si="0">100-(K5+J5)</f>
        <v>30</v>
      </c>
      <c r="N5" s="7">
        <v>11</v>
      </c>
      <c r="O5" s="7">
        <v>67</v>
      </c>
      <c r="P5" s="12">
        <f>O5+N5</f>
        <v>78</v>
      </c>
      <c r="Q5" s="7">
        <f>100-(O5+N5)</f>
        <v>22</v>
      </c>
    </row>
    <row r="6" spans="1:17" x14ac:dyDescent="0.3">
      <c r="A6" s="1">
        <v>2</v>
      </c>
      <c r="B6" s="3">
        <v>25</v>
      </c>
      <c r="C6" s="3">
        <v>50</v>
      </c>
      <c r="D6" s="7">
        <f t="shared" ref="D6:D10" si="1">C6+B6</f>
        <v>75</v>
      </c>
      <c r="E6" s="3">
        <v>25</v>
      </c>
      <c r="F6" s="7">
        <v>21</v>
      </c>
      <c r="G6" s="7">
        <v>64</v>
      </c>
      <c r="H6" s="15">
        <f t="shared" ref="H6:H17" si="2">G6+F6</f>
        <v>85</v>
      </c>
      <c r="I6" s="7">
        <f t="shared" ref="I6:I17" si="3">100-(G6+F6)</f>
        <v>15</v>
      </c>
      <c r="J6" s="3">
        <v>25</v>
      </c>
      <c r="K6" s="3">
        <v>53</v>
      </c>
      <c r="L6" s="12">
        <f t="shared" ref="L6:L10" si="4">K6+J6</f>
        <v>78</v>
      </c>
      <c r="M6" s="3">
        <f t="shared" si="0"/>
        <v>22</v>
      </c>
      <c r="N6" s="7">
        <v>15</v>
      </c>
      <c r="O6" s="7">
        <v>69</v>
      </c>
      <c r="P6" s="12">
        <f t="shared" ref="P6:P16" si="5">O6+N6</f>
        <v>84</v>
      </c>
      <c r="Q6" s="7">
        <f t="shared" ref="Q6:Q16" si="6">100-(O6+N6)</f>
        <v>16</v>
      </c>
    </row>
    <row r="7" spans="1:17" x14ac:dyDescent="0.3">
      <c r="A7" s="1">
        <v>3</v>
      </c>
      <c r="B7" s="3">
        <v>23</v>
      </c>
      <c r="C7" s="3">
        <v>69</v>
      </c>
      <c r="D7" s="7">
        <f t="shared" si="1"/>
        <v>92</v>
      </c>
      <c r="E7" s="3">
        <v>8</v>
      </c>
      <c r="F7" s="7">
        <v>24</v>
      </c>
      <c r="G7" s="7">
        <v>67</v>
      </c>
      <c r="H7" s="15">
        <f t="shared" si="2"/>
        <v>91</v>
      </c>
      <c r="I7" s="7">
        <f t="shared" si="3"/>
        <v>9</v>
      </c>
      <c r="J7" s="3">
        <v>26</v>
      </c>
      <c r="K7" s="3">
        <v>59</v>
      </c>
      <c r="L7" s="12">
        <f t="shared" si="4"/>
        <v>85</v>
      </c>
      <c r="M7" s="3">
        <f t="shared" si="0"/>
        <v>15</v>
      </c>
      <c r="N7" s="7">
        <v>21</v>
      </c>
      <c r="O7" s="7">
        <v>65</v>
      </c>
      <c r="P7" s="12">
        <f t="shared" si="5"/>
        <v>86</v>
      </c>
      <c r="Q7" s="7">
        <f t="shared" si="6"/>
        <v>14</v>
      </c>
    </row>
    <row r="8" spans="1:17" x14ac:dyDescent="0.3">
      <c r="A8" s="1">
        <v>4</v>
      </c>
      <c r="B8" s="3">
        <v>21</v>
      </c>
      <c r="C8" s="3">
        <v>63</v>
      </c>
      <c r="D8" s="7">
        <f t="shared" si="1"/>
        <v>84</v>
      </c>
      <c r="E8" s="3">
        <v>16</v>
      </c>
      <c r="F8" s="7">
        <v>9</v>
      </c>
      <c r="G8" s="7">
        <v>73</v>
      </c>
      <c r="H8" s="15">
        <f t="shared" si="2"/>
        <v>82</v>
      </c>
      <c r="I8" s="7">
        <f t="shared" si="3"/>
        <v>18</v>
      </c>
      <c r="J8" s="3">
        <v>29</v>
      </c>
      <c r="K8" s="3">
        <v>52</v>
      </c>
      <c r="L8" s="12">
        <f t="shared" si="4"/>
        <v>81</v>
      </c>
      <c r="M8" s="3">
        <f t="shared" si="0"/>
        <v>19</v>
      </c>
      <c r="N8" s="7">
        <v>11</v>
      </c>
      <c r="O8" s="7">
        <v>71</v>
      </c>
      <c r="P8" s="12">
        <f t="shared" si="5"/>
        <v>82</v>
      </c>
      <c r="Q8" s="7">
        <f t="shared" si="6"/>
        <v>18</v>
      </c>
    </row>
    <row r="9" spans="1:17" x14ac:dyDescent="0.3">
      <c r="A9" s="1">
        <v>5</v>
      </c>
      <c r="B9" s="3">
        <v>23</v>
      </c>
      <c r="C9" s="3">
        <v>65</v>
      </c>
      <c r="D9" s="7">
        <f t="shared" si="1"/>
        <v>88</v>
      </c>
      <c r="E9" s="3">
        <v>12</v>
      </c>
      <c r="F9" s="7">
        <v>12</v>
      </c>
      <c r="G9" s="7">
        <v>76</v>
      </c>
      <c r="H9" s="15">
        <f t="shared" si="2"/>
        <v>88</v>
      </c>
      <c r="I9" s="7">
        <f t="shared" si="3"/>
        <v>12</v>
      </c>
      <c r="J9" s="3">
        <v>33</v>
      </c>
      <c r="K9" s="3">
        <v>57</v>
      </c>
      <c r="L9" s="12">
        <f t="shared" si="4"/>
        <v>90</v>
      </c>
      <c r="M9" s="3">
        <f t="shared" si="0"/>
        <v>10</v>
      </c>
      <c r="N9" s="7">
        <v>10</v>
      </c>
      <c r="O9" s="7">
        <v>70</v>
      </c>
      <c r="P9" s="12">
        <f t="shared" si="5"/>
        <v>80</v>
      </c>
      <c r="Q9" s="7">
        <f t="shared" si="6"/>
        <v>20</v>
      </c>
    </row>
    <row r="10" spans="1:17" x14ac:dyDescent="0.3">
      <c r="A10" s="1">
        <v>6</v>
      </c>
      <c r="B10" s="3">
        <v>33</v>
      </c>
      <c r="C10" s="3">
        <v>58</v>
      </c>
      <c r="D10" s="7">
        <f t="shared" si="1"/>
        <v>91</v>
      </c>
      <c r="E10" s="3">
        <v>9</v>
      </c>
      <c r="F10" s="7">
        <v>14</v>
      </c>
      <c r="G10" s="7">
        <v>79</v>
      </c>
      <c r="H10" s="15">
        <f t="shared" si="2"/>
        <v>93</v>
      </c>
      <c r="I10" s="7">
        <f t="shared" si="3"/>
        <v>7</v>
      </c>
      <c r="J10" s="3">
        <v>31</v>
      </c>
      <c r="K10" s="3">
        <v>52</v>
      </c>
      <c r="L10" s="12">
        <f t="shared" si="4"/>
        <v>83</v>
      </c>
      <c r="M10" s="3">
        <f t="shared" si="0"/>
        <v>17</v>
      </c>
      <c r="N10" s="7">
        <v>13</v>
      </c>
      <c r="O10" s="7">
        <v>74</v>
      </c>
      <c r="P10" s="12">
        <f t="shared" si="5"/>
        <v>87</v>
      </c>
      <c r="Q10" s="7">
        <f t="shared" si="6"/>
        <v>13</v>
      </c>
    </row>
    <row r="11" spans="1:17" x14ac:dyDescent="0.3">
      <c r="A11" s="1">
        <v>7</v>
      </c>
      <c r="B11" s="3"/>
      <c r="C11" s="3"/>
      <c r="D11" s="7"/>
      <c r="E11" s="3"/>
      <c r="F11" s="7">
        <v>10</v>
      </c>
      <c r="G11" s="7">
        <v>72</v>
      </c>
      <c r="H11" s="15">
        <f t="shared" si="2"/>
        <v>82</v>
      </c>
      <c r="I11" s="7">
        <f t="shared" si="3"/>
        <v>18</v>
      </c>
      <c r="J11" s="3"/>
      <c r="K11" s="3"/>
      <c r="L11" s="12"/>
      <c r="M11" s="3"/>
      <c r="N11" s="7">
        <v>12</v>
      </c>
      <c r="O11" s="7">
        <v>73</v>
      </c>
      <c r="P11" s="12">
        <f t="shared" si="5"/>
        <v>85</v>
      </c>
      <c r="Q11" s="7">
        <f t="shared" si="6"/>
        <v>15</v>
      </c>
    </row>
    <row r="12" spans="1:17" x14ac:dyDescent="0.3">
      <c r="A12" s="1">
        <v>8</v>
      </c>
      <c r="B12" s="3"/>
      <c r="C12" s="3"/>
      <c r="D12" s="7"/>
      <c r="E12" s="3"/>
      <c r="F12" s="7">
        <v>17</v>
      </c>
      <c r="G12" s="7">
        <v>70</v>
      </c>
      <c r="H12" s="15">
        <f t="shared" si="2"/>
        <v>87</v>
      </c>
      <c r="I12" s="7">
        <f t="shared" si="3"/>
        <v>13</v>
      </c>
      <c r="J12" s="3"/>
      <c r="K12" s="3"/>
      <c r="L12" s="12"/>
      <c r="M12" s="3"/>
      <c r="N12" s="7">
        <v>14</v>
      </c>
      <c r="O12" s="7">
        <v>68</v>
      </c>
      <c r="P12" s="12">
        <f t="shared" si="5"/>
        <v>82</v>
      </c>
      <c r="Q12" s="7">
        <f t="shared" si="6"/>
        <v>18</v>
      </c>
    </row>
    <row r="13" spans="1:17" x14ac:dyDescent="0.3">
      <c r="A13" s="1">
        <v>9</v>
      </c>
      <c r="B13" s="3"/>
      <c r="C13" s="3"/>
      <c r="D13" s="7"/>
      <c r="E13" s="3"/>
      <c r="F13" s="7">
        <v>21</v>
      </c>
      <c r="G13" s="7">
        <v>65</v>
      </c>
      <c r="H13" s="15">
        <f t="shared" si="2"/>
        <v>86</v>
      </c>
      <c r="I13" s="7">
        <f t="shared" si="3"/>
        <v>14</v>
      </c>
      <c r="J13" s="3"/>
      <c r="K13" s="3"/>
      <c r="L13" s="12"/>
      <c r="M13" s="3"/>
      <c r="N13" s="7">
        <v>17</v>
      </c>
      <c r="O13" s="7">
        <v>62</v>
      </c>
      <c r="P13" s="12">
        <f t="shared" si="5"/>
        <v>79</v>
      </c>
      <c r="Q13" s="7">
        <f t="shared" si="6"/>
        <v>21</v>
      </c>
    </row>
    <row r="14" spans="1:17" x14ac:dyDescent="0.3">
      <c r="A14" s="1">
        <v>10</v>
      </c>
      <c r="B14" s="3"/>
      <c r="C14" s="3"/>
      <c r="D14" s="7"/>
      <c r="E14" s="3"/>
      <c r="F14" s="7">
        <v>15</v>
      </c>
      <c r="G14" s="7">
        <v>71</v>
      </c>
      <c r="H14" s="15">
        <f t="shared" si="2"/>
        <v>86</v>
      </c>
      <c r="I14" s="7">
        <f t="shared" si="3"/>
        <v>14</v>
      </c>
      <c r="J14" s="3"/>
      <c r="K14" s="3"/>
      <c r="L14" s="12"/>
      <c r="M14" s="3"/>
      <c r="N14" s="7">
        <v>12</v>
      </c>
      <c r="O14" s="7">
        <v>68</v>
      </c>
      <c r="P14" s="12">
        <f t="shared" si="5"/>
        <v>80</v>
      </c>
      <c r="Q14" s="7">
        <f t="shared" si="6"/>
        <v>20</v>
      </c>
    </row>
    <row r="15" spans="1:17" x14ac:dyDescent="0.3">
      <c r="A15" s="1">
        <v>11</v>
      </c>
      <c r="B15" s="3"/>
      <c r="C15" s="3"/>
      <c r="D15" s="7"/>
      <c r="E15" s="3"/>
      <c r="F15" s="7">
        <v>19</v>
      </c>
      <c r="G15" s="7">
        <v>73</v>
      </c>
      <c r="H15" s="15">
        <f t="shared" si="2"/>
        <v>92</v>
      </c>
      <c r="I15" s="7">
        <f t="shared" si="3"/>
        <v>8</v>
      </c>
      <c r="J15" s="3"/>
      <c r="K15" s="3"/>
      <c r="L15" s="12"/>
      <c r="M15" s="3"/>
      <c r="N15" s="7">
        <v>16</v>
      </c>
      <c r="O15" s="7">
        <v>71</v>
      </c>
      <c r="P15" s="12">
        <f t="shared" si="5"/>
        <v>87</v>
      </c>
      <c r="Q15" s="7">
        <f t="shared" si="6"/>
        <v>13</v>
      </c>
    </row>
    <row r="16" spans="1:17" x14ac:dyDescent="0.3">
      <c r="A16" s="1">
        <v>12</v>
      </c>
      <c r="B16" s="3"/>
      <c r="C16" s="3"/>
      <c r="D16" s="7"/>
      <c r="E16" s="3"/>
      <c r="F16" s="7">
        <v>11</v>
      </c>
      <c r="G16" s="7">
        <v>78</v>
      </c>
      <c r="H16" s="16">
        <f t="shared" si="2"/>
        <v>89</v>
      </c>
      <c r="I16" s="7">
        <f t="shared" si="3"/>
        <v>11</v>
      </c>
      <c r="J16" s="3"/>
      <c r="K16" s="3"/>
      <c r="L16" s="12"/>
      <c r="M16" s="3"/>
      <c r="N16" s="7">
        <v>13</v>
      </c>
      <c r="O16" s="7">
        <v>73</v>
      </c>
      <c r="P16" s="12">
        <f t="shared" si="5"/>
        <v>86</v>
      </c>
      <c r="Q16" s="7">
        <f t="shared" si="6"/>
        <v>14</v>
      </c>
    </row>
    <row r="17" spans="1:17" ht="31.8" customHeight="1" x14ac:dyDescent="0.3">
      <c r="A17" s="2" t="s">
        <v>11</v>
      </c>
      <c r="B17" s="4">
        <f>(B5+B6+B7+B8+B9+B10)/6</f>
        <v>22.333333333333332</v>
      </c>
      <c r="C17" s="4">
        <f>(C5+C6+C7+C8+C9+C10)/6</f>
        <v>62.166666666666664</v>
      </c>
      <c r="D17" s="8">
        <v>84</v>
      </c>
      <c r="E17" s="4">
        <f>(E5+E6+E7+E8+E9+E10)/6</f>
        <v>15.5</v>
      </c>
      <c r="F17" s="8">
        <f>(F5+F6+F7+F8+F9+F10+F11+F12+F13+F14+F15+F16)/12</f>
        <v>15.666666666666666</v>
      </c>
      <c r="G17" s="8">
        <f>(G5+G6+G7+G8+G9+G10+G11+G12+G13+G14+G15+G16)/12</f>
        <v>71.5</v>
      </c>
      <c r="H17" s="16">
        <v>88</v>
      </c>
      <c r="I17" s="8">
        <f>100-H17</f>
        <v>12</v>
      </c>
      <c r="J17" s="4">
        <f>(J5+J6+J7+J8+J9+J10)/6</f>
        <v>27.5</v>
      </c>
      <c r="K17" s="4">
        <f>(K5+K6+K7+K8+K9+K10)/6</f>
        <v>53.666666666666664</v>
      </c>
      <c r="L17" s="13">
        <v>82</v>
      </c>
      <c r="M17" s="4">
        <v>18</v>
      </c>
      <c r="N17" s="8">
        <f>(N5+N6+N7+N8+N9+N10+N11+N12+N13+N14+N15+N16)/12</f>
        <v>13.75</v>
      </c>
      <c r="O17" s="8">
        <f>(O5+O6+O7+O8+O9+O10+O11+O12+O13+O14+O15+O16)/12</f>
        <v>69.25</v>
      </c>
      <c r="P17" s="13">
        <v>83</v>
      </c>
      <c r="Q17" s="8">
        <f>100-P17</f>
        <v>17</v>
      </c>
    </row>
    <row r="20" spans="1:17" x14ac:dyDescent="0.3">
      <c r="A20" s="17" t="s">
        <v>8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</row>
    <row r="21" spans="1:17" x14ac:dyDescent="0.3">
      <c r="A21" s="20" t="s">
        <v>4</v>
      </c>
      <c r="B21" s="18" t="s">
        <v>2</v>
      </c>
      <c r="C21" s="18"/>
      <c r="D21" s="18"/>
      <c r="E21" s="18"/>
      <c r="F21" s="18"/>
      <c r="G21" s="18"/>
      <c r="H21" s="18"/>
      <c r="I21" s="18"/>
      <c r="J21" s="18" t="s">
        <v>3</v>
      </c>
      <c r="K21" s="18"/>
      <c r="L21" s="18"/>
      <c r="M21" s="18"/>
      <c r="N21" s="18"/>
      <c r="O21" s="18"/>
      <c r="P21" s="18"/>
      <c r="Q21" s="18"/>
    </row>
    <row r="22" spans="1:17" x14ac:dyDescent="0.3">
      <c r="A22" s="20"/>
      <c r="B22" s="19" t="s">
        <v>0</v>
      </c>
      <c r="C22" s="19"/>
      <c r="D22" s="19"/>
      <c r="E22" s="19"/>
      <c r="F22" s="19" t="s">
        <v>1</v>
      </c>
      <c r="G22" s="19"/>
      <c r="H22" s="19"/>
      <c r="I22" s="19"/>
      <c r="J22" s="19" t="s">
        <v>0</v>
      </c>
      <c r="K22" s="19"/>
      <c r="L22" s="19"/>
      <c r="M22" s="19"/>
      <c r="N22" s="19" t="s">
        <v>1</v>
      </c>
      <c r="O22" s="19"/>
      <c r="P22" s="19"/>
      <c r="Q22" s="19"/>
    </row>
    <row r="23" spans="1:17" ht="48.6" customHeight="1" x14ac:dyDescent="0.3">
      <c r="B23" s="6" t="s">
        <v>5</v>
      </c>
      <c r="C23" s="6" t="s">
        <v>6</v>
      </c>
      <c r="D23" s="9" t="s">
        <v>13</v>
      </c>
      <c r="E23" s="6" t="s">
        <v>10</v>
      </c>
      <c r="F23" s="9" t="s">
        <v>5</v>
      </c>
      <c r="G23" s="9" t="s">
        <v>6</v>
      </c>
      <c r="H23" s="14" t="s">
        <v>13</v>
      </c>
      <c r="I23" s="9" t="s">
        <v>10</v>
      </c>
      <c r="J23" s="6" t="s">
        <v>5</v>
      </c>
      <c r="K23" s="6" t="s">
        <v>6</v>
      </c>
      <c r="L23" s="11" t="s">
        <v>13</v>
      </c>
      <c r="M23" s="6" t="s">
        <v>10</v>
      </c>
      <c r="N23" s="9" t="s">
        <v>5</v>
      </c>
      <c r="O23" s="9" t="s">
        <v>6</v>
      </c>
      <c r="P23" s="11" t="s">
        <v>13</v>
      </c>
      <c r="Q23" s="9" t="s">
        <v>10</v>
      </c>
    </row>
    <row r="24" spans="1:17" x14ac:dyDescent="0.3">
      <c r="A24" s="1">
        <v>1</v>
      </c>
      <c r="B24" s="3">
        <v>11</v>
      </c>
      <c r="C24" s="3">
        <v>70</v>
      </c>
      <c r="D24" s="7">
        <f>C24+B24</f>
        <v>81</v>
      </c>
      <c r="E24" s="3">
        <f>100-(B24+C24)</f>
        <v>19</v>
      </c>
      <c r="F24" s="7">
        <v>9</v>
      </c>
      <c r="G24" s="7">
        <v>67</v>
      </c>
      <c r="H24" s="15">
        <f>G24+F24</f>
        <v>76</v>
      </c>
      <c r="I24" s="7">
        <f>100-(G24+F24)</f>
        <v>24</v>
      </c>
      <c r="J24" s="3">
        <v>8</v>
      </c>
      <c r="K24" s="3">
        <v>67</v>
      </c>
      <c r="L24" s="12">
        <f>K24+J24</f>
        <v>75</v>
      </c>
      <c r="M24" s="3">
        <f t="shared" ref="M24:M29" si="7">100-(K24+J24)</f>
        <v>25</v>
      </c>
      <c r="N24" s="7">
        <v>11</v>
      </c>
      <c r="O24" s="7">
        <v>75</v>
      </c>
      <c r="P24" s="12">
        <f>O24+N24</f>
        <v>86</v>
      </c>
      <c r="Q24" s="7">
        <f>100-(O24+N24)</f>
        <v>14</v>
      </c>
    </row>
    <row r="25" spans="1:17" x14ac:dyDescent="0.3">
      <c r="A25" s="1">
        <v>2</v>
      </c>
      <c r="B25" s="3">
        <v>15</v>
      </c>
      <c r="C25" s="3">
        <v>65</v>
      </c>
      <c r="D25" s="7">
        <f t="shared" ref="D25:D29" si="8">C25+B25</f>
        <v>80</v>
      </c>
      <c r="E25" s="3">
        <f t="shared" ref="E25:E29" si="9">100-(B25+C25)</f>
        <v>20</v>
      </c>
      <c r="F25" s="7">
        <v>12</v>
      </c>
      <c r="G25" s="7">
        <v>66</v>
      </c>
      <c r="H25" s="15">
        <f t="shared" ref="H25:H35" si="10">G25+F25</f>
        <v>78</v>
      </c>
      <c r="I25" s="7">
        <f t="shared" ref="I25:I35" si="11">100-(G25+F25)</f>
        <v>22</v>
      </c>
      <c r="J25" s="3">
        <v>11</v>
      </c>
      <c r="K25" s="3">
        <v>69</v>
      </c>
      <c r="L25" s="12">
        <f t="shared" ref="L25:L29" si="12">K25+J25</f>
        <v>80</v>
      </c>
      <c r="M25" s="3">
        <f t="shared" si="7"/>
        <v>20</v>
      </c>
      <c r="N25" s="7">
        <v>10</v>
      </c>
      <c r="O25" s="7">
        <v>71</v>
      </c>
      <c r="P25" s="12">
        <f t="shared" ref="P25:P35" si="13">O25+N25</f>
        <v>81</v>
      </c>
      <c r="Q25" s="7">
        <f t="shared" ref="Q25:Q35" si="14">100-(O25+N25)</f>
        <v>19</v>
      </c>
    </row>
    <row r="26" spans="1:17" x14ac:dyDescent="0.3">
      <c r="A26" s="1">
        <v>3</v>
      </c>
      <c r="B26" s="3">
        <v>13</v>
      </c>
      <c r="C26" s="3">
        <v>67</v>
      </c>
      <c r="D26" s="7">
        <f t="shared" si="8"/>
        <v>80</v>
      </c>
      <c r="E26" s="3">
        <f t="shared" si="9"/>
        <v>20</v>
      </c>
      <c r="F26" s="7">
        <v>17</v>
      </c>
      <c r="G26" s="7">
        <v>65</v>
      </c>
      <c r="H26" s="15">
        <f t="shared" si="10"/>
        <v>82</v>
      </c>
      <c r="I26" s="7">
        <f t="shared" si="11"/>
        <v>18</v>
      </c>
      <c r="J26" s="3">
        <v>13</v>
      </c>
      <c r="K26" s="3">
        <v>74</v>
      </c>
      <c r="L26" s="12">
        <f t="shared" si="12"/>
        <v>87</v>
      </c>
      <c r="M26" s="3">
        <f t="shared" si="7"/>
        <v>13</v>
      </c>
      <c r="N26" s="7">
        <v>15</v>
      </c>
      <c r="O26" s="7">
        <v>70</v>
      </c>
      <c r="P26" s="12">
        <f t="shared" si="13"/>
        <v>85</v>
      </c>
      <c r="Q26" s="7">
        <f t="shared" si="14"/>
        <v>15</v>
      </c>
    </row>
    <row r="27" spans="1:17" x14ac:dyDescent="0.3">
      <c r="A27" s="1">
        <v>4</v>
      </c>
      <c r="B27" s="3">
        <v>10</v>
      </c>
      <c r="C27" s="3">
        <v>63</v>
      </c>
      <c r="D27" s="7">
        <f t="shared" si="8"/>
        <v>73</v>
      </c>
      <c r="E27" s="3">
        <f t="shared" si="9"/>
        <v>27</v>
      </c>
      <c r="F27" s="7">
        <v>11</v>
      </c>
      <c r="G27" s="7">
        <v>71</v>
      </c>
      <c r="H27" s="15">
        <f t="shared" si="10"/>
        <v>82</v>
      </c>
      <c r="I27" s="7">
        <f t="shared" si="11"/>
        <v>18</v>
      </c>
      <c r="J27" s="3">
        <v>7</v>
      </c>
      <c r="K27" s="3">
        <v>66</v>
      </c>
      <c r="L27" s="12">
        <f t="shared" si="12"/>
        <v>73</v>
      </c>
      <c r="M27" s="3">
        <f t="shared" si="7"/>
        <v>27</v>
      </c>
      <c r="N27" s="7">
        <v>9</v>
      </c>
      <c r="O27" s="7">
        <v>74</v>
      </c>
      <c r="P27" s="12">
        <f t="shared" si="13"/>
        <v>83</v>
      </c>
      <c r="Q27" s="7">
        <f t="shared" si="14"/>
        <v>17</v>
      </c>
    </row>
    <row r="28" spans="1:17" x14ac:dyDescent="0.3">
      <c r="A28" s="1">
        <v>5</v>
      </c>
      <c r="B28" s="3">
        <v>21</v>
      </c>
      <c r="C28" s="3">
        <v>68</v>
      </c>
      <c r="D28" s="7">
        <f t="shared" si="8"/>
        <v>89</v>
      </c>
      <c r="E28" s="3">
        <f t="shared" si="9"/>
        <v>11</v>
      </c>
      <c r="F28" s="7">
        <v>15</v>
      </c>
      <c r="G28" s="7">
        <v>69</v>
      </c>
      <c r="H28" s="15">
        <f t="shared" si="10"/>
        <v>84</v>
      </c>
      <c r="I28" s="7">
        <f t="shared" si="11"/>
        <v>16</v>
      </c>
      <c r="J28" s="3">
        <v>10</v>
      </c>
      <c r="K28" s="3">
        <v>72</v>
      </c>
      <c r="L28" s="12">
        <f t="shared" si="12"/>
        <v>82</v>
      </c>
      <c r="M28" s="3">
        <f t="shared" si="7"/>
        <v>18</v>
      </c>
      <c r="N28" s="7">
        <v>11</v>
      </c>
      <c r="O28" s="7">
        <v>69</v>
      </c>
      <c r="P28" s="12">
        <f t="shared" si="13"/>
        <v>80</v>
      </c>
      <c r="Q28" s="7">
        <f t="shared" si="14"/>
        <v>20</v>
      </c>
    </row>
    <row r="29" spans="1:17" x14ac:dyDescent="0.3">
      <c r="A29" s="1">
        <v>6</v>
      </c>
      <c r="B29" s="3">
        <v>18</v>
      </c>
      <c r="C29" s="3">
        <v>72</v>
      </c>
      <c r="D29" s="7">
        <f t="shared" si="8"/>
        <v>90</v>
      </c>
      <c r="E29" s="3">
        <f t="shared" si="9"/>
        <v>10</v>
      </c>
      <c r="F29" s="7">
        <v>10</v>
      </c>
      <c r="G29" s="7">
        <v>73</v>
      </c>
      <c r="H29" s="15">
        <f t="shared" si="10"/>
        <v>83</v>
      </c>
      <c r="I29" s="7">
        <f t="shared" si="11"/>
        <v>17</v>
      </c>
      <c r="J29" s="3">
        <v>12</v>
      </c>
      <c r="K29" s="3">
        <v>77</v>
      </c>
      <c r="L29" s="12">
        <f t="shared" si="12"/>
        <v>89</v>
      </c>
      <c r="M29" s="3">
        <f t="shared" si="7"/>
        <v>11</v>
      </c>
      <c r="N29" s="7">
        <v>9</v>
      </c>
      <c r="O29" s="7">
        <v>73</v>
      </c>
      <c r="P29" s="12">
        <f t="shared" si="13"/>
        <v>82</v>
      </c>
      <c r="Q29" s="7">
        <f t="shared" si="14"/>
        <v>18</v>
      </c>
    </row>
    <row r="30" spans="1:17" x14ac:dyDescent="0.3">
      <c r="A30" s="1">
        <v>7</v>
      </c>
      <c r="B30" s="3"/>
      <c r="C30" s="3"/>
      <c r="D30" s="7"/>
      <c r="E30" s="3"/>
      <c r="F30" s="7">
        <v>12</v>
      </c>
      <c r="G30" s="7">
        <v>71</v>
      </c>
      <c r="H30" s="15">
        <f t="shared" si="10"/>
        <v>83</v>
      </c>
      <c r="I30" s="7">
        <f t="shared" si="11"/>
        <v>17</v>
      </c>
      <c r="J30" s="3"/>
      <c r="K30" s="3"/>
      <c r="L30" s="12"/>
      <c r="M30" s="3"/>
      <c r="N30" s="7">
        <v>10</v>
      </c>
      <c r="O30" s="7">
        <v>70</v>
      </c>
      <c r="P30" s="12">
        <f t="shared" si="13"/>
        <v>80</v>
      </c>
      <c r="Q30" s="7">
        <f t="shared" si="14"/>
        <v>20</v>
      </c>
    </row>
    <row r="31" spans="1:17" x14ac:dyDescent="0.3">
      <c r="A31" s="1">
        <v>8</v>
      </c>
      <c r="B31" s="3"/>
      <c r="C31" s="3"/>
      <c r="D31" s="7"/>
      <c r="E31" s="3"/>
      <c r="F31" s="7">
        <v>16</v>
      </c>
      <c r="G31" s="7">
        <v>68</v>
      </c>
      <c r="H31" s="15">
        <f t="shared" si="10"/>
        <v>84</v>
      </c>
      <c r="I31" s="7">
        <f t="shared" si="11"/>
        <v>16</v>
      </c>
      <c r="J31" s="3"/>
      <c r="K31" s="3"/>
      <c r="L31" s="12"/>
      <c r="M31" s="3"/>
      <c r="N31" s="7">
        <v>14</v>
      </c>
      <c r="O31" s="7">
        <v>72</v>
      </c>
      <c r="P31" s="12">
        <f t="shared" si="13"/>
        <v>86</v>
      </c>
      <c r="Q31" s="7">
        <f t="shared" si="14"/>
        <v>14</v>
      </c>
    </row>
    <row r="32" spans="1:17" x14ac:dyDescent="0.3">
      <c r="A32" s="1">
        <v>9</v>
      </c>
      <c r="B32" s="3"/>
      <c r="C32" s="3"/>
      <c r="D32" s="7"/>
      <c r="E32" s="3"/>
      <c r="F32" s="7">
        <v>14</v>
      </c>
      <c r="G32" s="7">
        <v>65</v>
      </c>
      <c r="H32" s="15">
        <f t="shared" si="10"/>
        <v>79</v>
      </c>
      <c r="I32" s="7">
        <f t="shared" si="11"/>
        <v>21</v>
      </c>
      <c r="J32" s="3"/>
      <c r="K32" s="3"/>
      <c r="L32" s="12"/>
      <c r="M32" s="3"/>
      <c r="N32" s="7">
        <v>13</v>
      </c>
      <c r="O32" s="7">
        <v>69</v>
      </c>
      <c r="P32" s="12">
        <f t="shared" si="13"/>
        <v>82</v>
      </c>
      <c r="Q32" s="7">
        <f t="shared" si="14"/>
        <v>18</v>
      </c>
    </row>
    <row r="33" spans="1:17" x14ac:dyDescent="0.3">
      <c r="A33" s="1">
        <v>10</v>
      </c>
      <c r="B33" s="3"/>
      <c r="C33" s="3"/>
      <c r="D33" s="7"/>
      <c r="E33" s="3"/>
      <c r="F33" s="7">
        <v>10</v>
      </c>
      <c r="G33" s="7">
        <v>72</v>
      </c>
      <c r="H33" s="15">
        <f t="shared" si="10"/>
        <v>82</v>
      </c>
      <c r="I33" s="7">
        <f t="shared" si="11"/>
        <v>18</v>
      </c>
      <c r="J33" s="3"/>
      <c r="K33" s="3"/>
      <c r="L33" s="12"/>
      <c r="M33" s="3"/>
      <c r="N33" s="7">
        <v>8</v>
      </c>
      <c r="O33" s="7">
        <v>75</v>
      </c>
      <c r="P33" s="12">
        <f t="shared" si="13"/>
        <v>83</v>
      </c>
      <c r="Q33" s="7">
        <f t="shared" si="14"/>
        <v>17</v>
      </c>
    </row>
    <row r="34" spans="1:17" x14ac:dyDescent="0.3">
      <c r="A34" s="1">
        <v>11</v>
      </c>
      <c r="B34" s="3"/>
      <c r="C34" s="3"/>
      <c r="D34" s="7"/>
      <c r="E34" s="3"/>
      <c r="F34" s="7">
        <v>8</v>
      </c>
      <c r="G34" s="7">
        <v>70</v>
      </c>
      <c r="H34" s="15">
        <f t="shared" si="10"/>
        <v>78</v>
      </c>
      <c r="I34" s="7">
        <f t="shared" si="11"/>
        <v>22</v>
      </c>
      <c r="J34" s="3"/>
      <c r="K34" s="3"/>
      <c r="L34" s="12"/>
      <c r="M34" s="3"/>
      <c r="N34" s="7">
        <v>9</v>
      </c>
      <c r="O34" s="7">
        <v>74</v>
      </c>
      <c r="P34" s="12">
        <f t="shared" si="13"/>
        <v>83</v>
      </c>
      <c r="Q34" s="7">
        <f t="shared" si="14"/>
        <v>17</v>
      </c>
    </row>
    <row r="35" spans="1:17" x14ac:dyDescent="0.3">
      <c r="A35" s="1">
        <v>12</v>
      </c>
      <c r="B35" s="3"/>
      <c r="C35" s="3"/>
      <c r="D35" s="7"/>
      <c r="E35" s="3"/>
      <c r="F35" s="7">
        <v>15</v>
      </c>
      <c r="G35" s="7">
        <v>73</v>
      </c>
      <c r="H35" s="15">
        <f t="shared" si="10"/>
        <v>88</v>
      </c>
      <c r="I35" s="7">
        <f t="shared" si="11"/>
        <v>12</v>
      </c>
      <c r="J35" s="3"/>
      <c r="K35" s="3"/>
      <c r="L35" s="12"/>
      <c r="M35" s="3"/>
      <c r="N35" s="7">
        <v>12</v>
      </c>
      <c r="O35" s="7">
        <v>73</v>
      </c>
      <c r="P35" s="12">
        <f t="shared" si="13"/>
        <v>85</v>
      </c>
      <c r="Q35" s="7">
        <f t="shared" si="14"/>
        <v>15</v>
      </c>
    </row>
    <row r="36" spans="1:17" ht="28.8" x14ac:dyDescent="0.3">
      <c r="A36" s="2" t="s">
        <v>11</v>
      </c>
      <c r="B36" s="4">
        <f>(B24+B25+B26+B27+B28+B29)/6</f>
        <v>14.666666666666666</v>
      </c>
      <c r="C36" s="4">
        <f>(C24+C25+C26+C27+C28+C29)/6</f>
        <v>67.5</v>
      </c>
      <c r="D36" s="8">
        <v>83</v>
      </c>
      <c r="E36" s="4">
        <f>17</f>
        <v>17</v>
      </c>
      <c r="F36" s="8">
        <f>(F24+F25+F26+F27+F28+F29+F30+F31+F32+F33+F34+F35)/12</f>
        <v>12.416666666666666</v>
      </c>
      <c r="G36" s="8">
        <f>(G24+G25+G26+G27+G28+G29+G30+G31+G32+G33+G34+G35)/12</f>
        <v>69.166666666666671</v>
      </c>
      <c r="H36" s="16">
        <v>88</v>
      </c>
      <c r="I36" s="8">
        <f>100-H36</f>
        <v>12</v>
      </c>
      <c r="J36" s="4">
        <f t="shared" ref="J36" si="15">(J24+J25+J26+J27+J28+J29)/6</f>
        <v>10.166666666666666</v>
      </c>
      <c r="K36" s="4">
        <f t="shared" ref="K36" si="16">(K24+K25+K26+K27+K28+K29)/6</f>
        <v>70.833333333333329</v>
      </c>
      <c r="L36" s="13">
        <v>81</v>
      </c>
      <c r="M36" s="4">
        <f>100-(J36+K36)</f>
        <v>19</v>
      </c>
      <c r="N36" s="8">
        <f>(N24+N25+N26+N27+N28+N29+N30+N31+N32+N33+N34+N35)/12</f>
        <v>10.916666666666666</v>
      </c>
      <c r="O36" s="8">
        <f>(O24+O25+O26+O27+O28+O29+O30+O31+O32+O33+O34+O35)/12</f>
        <v>72.083333333333329</v>
      </c>
      <c r="P36" s="13">
        <v>83</v>
      </c>
      <c r="Q36" s="8">
        <v>17</v>
      </c>
    </row>
    <row r="37" spans="1:17" x14ac:dyDescent="0.3">
      <c r="B37" s="5"/>
      <c r="C37" s="5"/>
      <c r="D37" s="5"/>
      <c r="E37" s="5"/>
      <c r="J37" s="5"/>
      <c r="K37" s="5"/>
      <c r="L37" s="10"/>
    </row>
    <row r="39" spans="1:17" ht="19.2" customHeight="1" x14ac:dyDescent="0.3">
      <c r="A39" s="17" t="s">
        <v>9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</row>
    <row r="40" spans="1:17" x14ac:dyDescent="0.3">
      <c r="A40" s="20" t="s">
        <v>4</v>
      </c>
      <c r="B40" s="18" t="s">
        <v>2</v>
      </c>
      <c r="C40" s="18"/>
      <c r="D40" s="18"/>
      <c r="E40" s="18"/>
      <c r="F40" s="18"/>
      <c r="G40" s="18"/>
      <c r="H40" s="18"/>
      <c r="I40" s="18"/>
      <c r="J40" s="18" t="s">
        <v>3</v>
      </c>
      <c r="K40" s="18"/>
      <c r="L40" s="18"/>
      <c r="M40" s="18"/>
      <c r="N40" s="18"/>
      <c r="O40" s="18"/>
      <c r="P40" s="18"/>
      <c r="Q40" s="18"/>
    </row>
    <row r="41" spans="1:17" x14ac:dyDescent="0.3">
      <c r="A41" s="20"/>
      <c r="B41" s="19" t="s">
        <v>0</v>
      </c>
      <c r="C41" s="19"/>
      <c r="D41" s="19"/>
      <c r="E41" s="19"/>
      <c r="F41" s="19" t="s">
        <v>1</v>
      </c>
      <c r="G41" s="19"/>
      <c r="H41" s="19"/>
      <c r="I41" s="19"/>
      <c r="J41" s="19" t="s">
        <v>0</v>
      </c>
      <c r="K41" s="19"/>
      <c r="L41" s="19"/>
      <c r="M41" s="19"/>
      <c r="N41" s="19" t="s">
        <v>1</v>
      </c>
      <c r="O41" s="19"/>
      <c r="P41" s="19"/>
      <c r="Q41" s="19"/>
    </row>
    <row r="42" spans="1:17" ht="48" customHeight="1" x14ac:dyDescent="0.3">
      <c r="B42" s="6" t="s">
        <v>5</v>
      </c>
      <c r="C42" s="6" t="s">
        <v>6</v>
      </c>
      <c r="D42" s="9" t="s">
        <v>13</v>
      </c>
      <c r="E42" s="6" t="s">
        <v>10</v>
      </c>
      <c r="F42" s="9" t="s">
        <v>5</v>
      </c>
      <c r="G42" s="9" t="s">
        <v>6</v>
      </c>
      <c r="H42" s="14" t="s">
        <v>13</v>
      </c>
      <c r="I42" s="9" t="s">
        <v>10</v>
      </c>
      <c r="J42" s="6" t="s">
        <v>5</v>
      </c>
      <c r="K42" s="6" t="s">
        <v>6</v>
      </c>
      <c r="L42" s="11" t="s">
        <v>13</v>
      </c>
      <c r="M42" s="6" t="s">
        <v>10</v>
      </c>
      <c r="N42" s="9" t="s">
        <v>5</v>
      </c>
      <c r="O42" s="9" t="s">
        <v>6</v>
      </c>
      <c r="P42" s="11" t="s">
        <v>13</v>
      </c>
      <c r="Q42" s="9" t="s">
        <v>10</v>
      </c>
    </row>
    <row r="43" spans="1:17" x14ac:dyDescent="0.3">
      <c r="A43" s="1">
        <v>1</v>
      </c>
      <c r="B43" s="3">
        <v>9</v>
      </c>
      <c r="C43" s="3">
        <v>68</v>
      </c>
      <c r="D43" s="7">
        <f>C43+B43</f>
        <v>77</v>
      </c>
      <c r="E43" s="3">
        <v>23</v>
      </c>
      <c r="F43" s="7">
        <v>15</v>
      </c>
      <c r="G43" s="7">
        <v>70</v>
      </c>
      <c r="H43" s="15">
        <f>G43+F43</f>
        <v>85</v>
      </c>
      <c r="I43" s="7">
        <f>100-(G43+F43)</f>
        <v>15</v>
      </c>
      <c r="J43" s="3">
        <v>10</v>
      </c>
      <c r="K43" s="3">
        <v>70</v>
      </c>
      <c r="L43" s="12">
        <f>K43+J43</f>
        <v>80</v>
      </c>
      <c r="M43" s="3">
        <f t="shared" ref="M43:M48" si="17">100-(K43+J43)</f>
        <v>20</v>
      </c>
      <c r="N43" s="7">
        <v>6</v>
      </c>
      <c r="O43" s="7">
        <v>72</v>
      </c>
      <c r="P43" s="12">
        <f>O43+N43</f>
        <v>78</v>
      </c>
      <c r="Q43" s="7">
        <f>100-(O43+N43)</f>
        <v>22</v>
      </c>
    </row>
    <row r="44" spans="1:17" x14ac:dyDescent="0.3">
      <c r="A44" s="1">
        <v>2</v>
      </c>
      <c r="B44" s="3">
        <v>25</v>
      </c>
      <c r="C44" s="3">
        <v>50</v>
      </c>
      <c r="D44" s="7">
        <f t="shared" ref="D44:D48" si="18">C44+B44</f>
        <v>75</v>
      </c>
      <c r="E44" s="3">
        <v>25</v>
      </c>
      <c r="F44" s="7">
        <v>21</v>
      </c>
      <c r="G44" s="7">
        <v>64</v>
      </c>
      <c r="H44" s="15">
        <f t="shared" ref="H44:H54" si="19">G44+F44</f>
        <v>85</v>
      </c>
      <c r="I44" s="7">
        <f t="shared" ref="I44:I54" si="20">100-(G44+F44)</f>
        <v>15</v>
      </c>
      <c r="J44" s="3">
        <v>14</v>
      </c>
      <c r="K44" s="3">
        <v>64</v>
      </c>
      <c r="L44" s="12">
        <f t="shared" ref="L44:L48" si="21">K44+J44</f>
        <v>78</v>
      </c>
      <c r="M44" s="3">
        <f t="shared" si="17"/>
        <v>22</v>
      </c>
      <c r="N44" s="7">
        <v>10</v>
      </c>
      <c r="O44" s="7">
        <v>74</v>
      </c>
      <c r="P44" s="12">
        <f t="shared" ref="P44:P54" si="22">O44+N44</f>
        <v>84</v>
      </c>
      <c r="Q44" s="7">
        <f t="shared" ref="Q44:Q54" si="23">100-(O44+N44)</f>
        <v>16</v>
      </c>
    </row>
    <row r="45" spans="1:17" x14ac:dyDescent="0.3">
      <c r="A45" s="1">
        <v>3</v>
      </c>
      <c r="B45" s="3">
        <v>23</v>
      </c>
      <c r="C45" s="3">
        <v>69</v>
      </c>
      <c r="D45" s="7">
        <f t="shared" si="18"/>
        <v>92</v>
      </c>
      <c r="E45" s="3">
        <v>8</v>
      </c>
      <c r="F45" s="7">
        <v>24</v>
      </c>
      <c r="G45" s="7">
        <v>67</v>
      </c>
      <c r="H45" s="15">
        <f t="shared" si="19"/>
        <v>91</v>
      </c>
      <c r="I45" s="7">
        <f t="shared" si="20"/>
        <v>9</v>
      </c>
      <c r="J45" s="3">
        <v>11</v>
      </c>
      <c r="K45" s="3">
        <v>76</v>
      </c>
      <c r="L45" s="12">
        <f t="shared" si="21"/>
        <v>87</v>
      </c>
      <c r="M45" s="3">
        <f t="shared" si="17"/>
        <v>13</v>
      </c>
      <c r="N45" s="7">
        <v>17</v>
      </c>
      <c r="O45" s="7">
        <v>69</v>
      </c>
      <c r="P45" s="12">
        <f t="shared" si="22"/>
        <v>86</v>
      </c>
      <c r="Q45" s="7">
        <f t="shared" si="23"/>
        <v>14</v>
      </c>
    </row>
    <row r="46" spans="1:17" x14ac:dyDescent="0.3">
      <c r="A46" s="1">
        <v>4</v>
      </c>
      <c r="B46" s="3">
        <v>21</v>
      </c>
      <c r="C46" s="3">
        <v>63</v>
      </c>
      <c r="D46" s="7">
        <f t="shared" si="18"/>
        <v>84</v>
      </c>
      <c r="E46" s="3">
        <v>16</v>
      </c>
      <c r="F46" s="7">
        <v>9</v>
      </c>
      <c r="G46" s="7">
        <v>73</v>
      </c>
      <c r="H46" s="15">
        <f t="shared" si="19"/>
        <v>82</v>
      </c>
      <c r="I46" s="7">
        <f t="shared" si="20"/>
        <v>18</v>
      </c>
      <c r="J46" s="3">
        <v>9</v>
      </c>
      <c r="K46" s="3">
        <v>72</v>
      </c>
      <c r="L46" s="12">
        <f t="shared" si="21"/>
        <v>81</v>
      </c>
      <c r="M46" s="3">
        <f t="shared" si="17"/>
        <v>19</v>
      </c>
      <c r="N46" s="7">
        <v>16</v>
      </c>
      <c r="O46" s="7">
        <v>63</v>
      </c>
      <c r="P46" s="12">
        <f t="shared" si="22"/>
        <v>79</v>
      </c>
      <c r="Q46" s="7">
        <f t="shared" si="23"/>
        <v>21</v>
      </c>
    </row>
    <row r="47" spans="1:17" x14ac:dyDescent="0.3">
      <c r="A47" s="1">
        <v>5</v>
      </c>
      <c r="B47" s="3">
        <v>23</v>
      </c>
      <c r="C47" s="3">
        <v>65</v>
      </c>
      <c r="D47" s="7">
        <f t="shared" si="18"/>
        <v>88</v>
      </c>
      <c r="E47" s="3">
        <v>12</v>
      </c>
      <c r="F47" s="7">
        <v>12</v>
      </c>
      <c r="G47" s="7">
        <v>76</v>
      </c>
      <c r="H47" s="15">
        <f t="shared" si="19"/>
        <v>88</v>
      </c>
      <c r="I47" s="7">
        <f t="shared" si="20"/>
        <v>12</v>
      </c>
      <c r="J47" s="3">
        <v>12</v>
      </c>
      <c r="K47" s="3">
        <v>77</v>
      </c>
      <c r="L47" s="12">
        <f t="shared" si="21"/>
        <v>89</v>
      </c>
      <c r="M47" s="3">
        <f t="shared" si="17"/>
        <v>11</v>
      </c>
      <c r="N47" s="7">
        <v>12</v>
      </c>
      <c r="O47" s="7">
        <v>66</v>
      </c>
      <c r="P47" s="12">
        <f t="shared" si="22"/>
        <v>78</v>
      </c>
      <c r="Q47" s="7">
        <f t="shared" si="23"/>
        <v>22</v>
      </c>
    </row>
    <row r="48" spans="1:17" x14ac:dyDescent="0.3">
      <c r="A48" s="1">
        <v>6</v>
      </c>
      <c r="B48" s="3">
        <v>33</v>
      </c>
      <c r="C48" s="3">
        <v>58</v>
      </c>
      <c r="D48" s="7">
        <f t="shared" si="18"/>
        <v>91</v>
      </c>
      <c r="E48" s="3">
        <v>9</v>
      </c>
      <c r="F48" s="7">
        <v>14</v>
      </c>
      <c r="G48" s="7">
        <v>79</v>
      </c>
      <c r="H48" s="15">
        <f t="shared" si="19"/>
        <v>93</v>
      </c>
      <c r="I48" s="7">
        <f t="shared" si="20"/>
        <v>7</v>
      </c>
      <c r="J48" s="3">
        <v>7</v>
      </c>
      <c r="K48" s="3">
        <v>79</v>
      </c>
      <c r="L48" s="12">
        <f t="shared" si="21"/>
        <v>86</v>
      </c>
      <c r="M48" s="3">
        <f t="shared" si="17"/>
        <v>14</v>
      </c>
      <c r="N48" s="7">
        <v>15</v>
      </c>
      <c r="O48" s="7">
        <v>72</v>
      </c>
      <c r="P48" s="12">
        <f t="shared" si="22"/>
        <v>87</v>
      </c>
      <c r="Q48" s="7">
        <f t="shared" si="23"/>
        <v>13</v>
      </c>
    </row>
    <row r="49" spans="1:17" x14ac:dyDescent="0.3">
      <c r="A49" s="1">
        <v>7</v>
      </c>
      <c r="B49" s="3"/>
      <c r="C49" s="3"/>
      <c r="D49" s="7"/>
      <c r="E49" s="3"/>
      <c r="F49" s="7">
        <v>10</v>
      </c>
      <c r="G49" s="7">
        <v>72</v>
      </c>
      <c r="H49" s="15">
        <f t="shared" si="19"/>
        <v>82</v>
      </c>
      <c r="I49" s="7">
        <f t="shared" si="20"/>
        <v>18</v>
      </c>
      <c r="J49" s="3"/>
      <c r="K49" s="3"/>
      <c r="L49" s="12"/>
      <c r="M49" s="3"/>
      <c r="N49" s="7">
        <v>9</v>
      </c>
      <c r="O49" s="7">
        <v>66</v>
      </c>
      <c r="P49" s="12">
        <f t="shared" si="22"/>
        <v>75</v>
      </c>
      <c r="Q49" s="7">
        <f t="shared" si="23"/>
        <v>25</v>
      </c>
    </row>
    <row r="50" spans="1:17" x14ac:dyDescent="0.3">
      <c r="A50" s="1">
        <v>8</v>
      </c>
      <c r="B50" s="3"/>
      <c r="C50" s="3"/>
      <c r="D50" s="7"/>
      <c r="E50" s="3"/>
      <c r="F50" s="7">
        <v>17</v>
      </c>
      <c r="G50" s="7">
        <v>70</v>
      </c>
      <c r="H50" s="15">
        <f t="shared" si="19"/>
        <v>87</v>
      </c>
      <c r="I50" s="7">
        <f t="shared" si="20"/>
        <v>13</v>
      </c>
      <c r="J50" s="3"/>
      <c r="K50" s="3"/>
      <c r="L50" s="12"/>
      <c r="M50" s="3"/>
      <c r="N50" s="7">
        <v>14</v>
      </c>
      <c r="O50" s="7">
        <v>63</v>
      </c>
      <c r="P50" s="12">
        <f t="shared" si="22"/>
        <v>77</v>
      </c>
      <c r="Q50" s="7">
        <f t="shared" si="23"/>
        <v>23</v>
      </c>
    </row>
    <row r="51" spans="1:17" x14ac:dyDescent="0.3">
      <c r="A51" s="1">
        <v>9</v>
      </c>
      <c r="B51" s="3"/>
      <c r="C51" s="3"/>
      <c r="D51" s="7"/>
      <c r="E51" s="3"/>
      <c r="F51" s="7">
        <v>21</v>
      </c>
      <c r="G51" s="7">
        <v>65</v>
      </c>
      <c r="H51" s="15">
        <f t="shared" si="19"/>
        <v>86</v>
      </c>
      <c r="I51" s="7">
        <f t="shared" si="20"/>
        <v>14</v>
      </c>
      <c r="J51" s="3"/>
      <c r="K51" s="3"/>
      <c r="L51" s="12"/>
      <c r="M51" s="3"/>
      <c r="N51" s="7">
        <v>19</v>
      </c>
      <c r="O51" s="7">
        <v>71</v>
      </c>
      <c r="P51" s="12">
        <f t="shared" si="22"/>
        <v>90</v>
      </c>
      <c r="Q51" s="7">
        <f t="shared" si="23"/>
        <v>10</v>
      </c>
    </row>
    <row r="52" spans="1:17" x14ac:dyDescent="0.3">
      <c r="A52" s="1">
        <v>10</v>
      </c>
      <c r="B52" s="3"/>
      <c r="C52" s="3"/>
      <c r="D52" s="7"/>
      <c r="E52" s="3"/>
      <c r="F52" s="7">
        <v>15</v>
      </c>
      <c r="G52" s="7">
        <v>71</v>
      </c>
      <c r="H52" s="15">
        <f t="shared" si="19"/>
        <v>86</v>
      </c>
      <c r="I52" s="7">
        <f t="shared" si="20"/>
        <v>14</v>
      </c>
      <c r="J52" s="3"/>
      <c r="K52" s="3"/>
      <c r="L52" s="12"/>
      <c r="M52" s="3"/>
      <c r="N52" s="7">
        <v>11</v>
      </c>
      <c r="O52" s="7">
        <v>68</v>
      </c>
      <c r="P52" s="12">
        <f t="shared" si="22"/>
        <v>79</v>
      </c>
      <c r="Q52" s="7">
        <f t="shared" si="23"/>
        <v>21</v>
      </c>
    </row>
    <row r="53" spans="1:17" x14ac:dyDescent="0.3">
      <c r="A53" s="1">
        <v>11</v>
      </c>
      <c r="B53" s="3"/>
      <c r="C53" s="3"/>
      <c r="D53" s="7"/>
      <c r="E53" s="3"/>
      <c r="F53" s="7">
        <v>19</v>
      </c>
      <c r="G53" s="7">
        <v>73</v>
      </c>
      <c r="H53" s="15">
        <f t="shared" si="19"/>
        <v>92</v>
      </c>
      <c r="I53" s="7">
        <f t="shared" si="20"/>
        <v>8</v>
      </c>
      <c r="J53" s="3"/>
      <c r="K53" s="3"/>
      <c r="L53" s="12"/>
      <c r="M53" s="3"/>
      <c r="N53" s="7">
        <v>14</v>
      </c>
      <c r="O53" s="7">
        <v>70</v>
      </c>
      <c r="P53" s="12">
        <f t="shared" si="22"/>
        <v>84</v>
      </c>
      <c r="Q53" s="7">
        <f t="shared" si="23"/>
        <v>16</v>
      </c>
    </row>
    <row r="54" spans="1:17" x14ac:dyDescent="0.3">
      <c r="A54" s="1">
        <v>12</v>
      </c>
      <c r="B54" s="3"/>
      <c r="C54" s="3"/>
      <c r="D54" s="7"/>
      <c r="E54" s="3"/>
      <c r="F54" s="7">
        <v>11</v>
      </c>
      <c r="G54" s="7">
        <v>78</v>
      </c>
      <c r="H54" s="16">
        <f t="shared" si="19"/>
        <v>89</v>
      </c>
      <c r="I54" s="7">
        <f t="shared" si="20"/>
        <v>11</v>
      </c>
      <c r="J54" s="3"/>
      <c r="K54" s="3"/>
      <c r="L54" s="12"/>
      <c r="M54" s="3"/>
      <c r="N54" s="7">
        <v>8</v>
      </c>
      <c r="O54" s="7">
        <v>73</v>
      </c>
      <c r="P54" s="12">
        <f t="shared" si="22"/>
        <v>81</v>
      </c>
      <c r="Q54" s="7">
        <f t="shared" si="23"/>
        <v>19</v>
      </c>
    </row>
    <row r="55" spans="1:17" ht="28.8" x14ac:dyDescent="0.3">
      <c r="A55" s="2" t="s">
        <v>12</v>
      </c>
      <c r="B55" s="4">
        <f>(B43+B44+B45+B46+B47+B48)/6</f>
        <v>22.333333333333332</v>
      </c>
      <c r="C55" s="4">
        <f>(C43+C44+C45+C46+C47+C48)/6</f>
        <v>62.166666666666664</v>
      </c>
      <c r="D55" s="8">
        <v>84</v>
      </c>
      <c r="E55" s="4">
        <f t="shared" ref="E55" si="24">(E43+E44+E45+E46+E47+E48)/6</f>
        <v>15.5</v>
      </c>
      <c r="F55" s="8">
        <f>(F43+F44+F45+F46+F47+F48+F49+F50+F51+F52+F53+F54)/12</f>
        <v>15.666666666666666</v>
      </c>
      <c r="G55" s="8">
        <f>(G43+G44+G45+G46+G47+G48+G49+G50+G51+G52+G53+G54)/12</f>
        <v>71.5</v>
      </c>
      <c r="H55" s="16">
        <v>88</v>
      </c>
      <c r="I55" s="8">
        <f>100-H55</f>
        <v>12</v>
      </c>
      <c r="J55" s="4">
        <f t="shared" ref="J55" si="25">(J43+J44+J45+J46+J47+J48)/6</f>
        <v>10.5</v>
      </c>
      <c r="K55" s="4">
        <f t="shared" ref="K55" si="26">(K43+K44+K45+K46+K47+K48)/6</f>
        <v>73</v>
      </c>
      <c r="L55" s="13">
        <v>84</v>
      </c>
      <c r="M55" s="4">
        <v>16</v>
      </c>
      <c r="N55" s="8">
        <f>(N43+N44+N45+N46+N47+N48+N49+N50+N51+N52+N53+N54)/12</f>
        <v>12.583333333333334</v>
      </c>
      <c r="O55" s="8">
        <f>(O43+O44+O45+O46+O47+O48+O49+O50+O51+O52+O53+O54)/12</f>
        <v>68.916666666666671</v>
      </c>
      <c r="P55" s="13">
        <v>82</v>
      </c>
      <c r="Q55" s="8">
        <f>100-P55</f>
        <v>18</v>
      </c>
    </row>
  </sheetData>
  <mergeCells count="24">
    <mergeCell ref="A39:Q39"/>
    <mergeCell ref="A40:A41"/>
    <mergeCell ref="B40:I40"/>
    <mergeCell ref="J40:Q40"/>
    <mergeCell ref="B41:E41"/>
    <mergeCell ref="F41:I41"/>
    <mergeCell ref="J41:M41"/>
    <mergeCell ref="N41:Q41"/>
    <mergeCell ref="A20:Q20"/>
    <mergeCell ref="A21:A22"/>
    <mergeCell ref="B21:I21"/>
    <mergeCell ref="J21:Q21"/>
    <mergeCell ref="B22:E22"/>
    <mergeCell ref="F22:I22"/>
    <mergeCell ref="J22:M22"/>
    <mergeCell ref="N22:Q22"/>
    <mergeCell ref="A1:Q1"/>
    <mergeCell ref="B2:I2"/>
    <mergeCell ref="J2:Q2"/>
    <mergeCell ref="B3:E3"/>
    <mergeCell ref="F3:I3"/>
    <mergeCell ref="J3:M3"/>
    <mergeCell ref="N3:Q3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Метрики по 3 кейсам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Алиса Мордовская</dc:creator>
  <cp:lastModifiedBy>Алиса Мордовская</cp:lastModifiedBy>
  <dcterms:created xsi:type="dcterms:W3CDTF">2025-06-05T12:31:04Z</dcterms:created>
  <dcterms:modified xsi:type="dcterms:W3CDTF">2025-06-09T20:26:14Z</dcterms:modified>
</cp:coreProperties>
</file>